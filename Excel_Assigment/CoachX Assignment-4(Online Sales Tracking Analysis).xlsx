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9635" windowHeight="7620" activeTab="1"/>
  </bookViews>
  <sheets>
    <sheet name="Sales report" sheetId="1" r:id="rId1"/>
    <sheet name="Online Sales Tracker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<sst xmlns="http://schemas.openxmlformats.org/spreadsheetml/2006/main" count="93" uniqueCount="30">
  <si>
    <t>Monthly Sales Report</t>
  </si>
  <si>
    <t>Date</t>
  </si>
  <si>
    <t>Day</t>
  </si>
  <si>
    <t>Product</t>
  </si>
  <si>
    <t>Quantity</t>
  </si>
  <si>
    <t>Sales channel</t>
  </si>
  <si>
    <t>Cost Price</t>
  </si>
  <si>
    <t>Sell Price</t>
  </si>
  <si>
    <t>Profit</t>
  </si>
  <si>
    <t>Margin</t>
  </si>
  <si>
    <t>Net income</t>
  </si>
  <si>
    <t>Revenue</t>
  </si>
  <si>
    <t>A</t>
  </si>
  <si>
    <t>Amazon</t>
  </si>
  <si>
    <t>Website</t>
  </si>
  <si>
    <t>E</t>
  </si>
  <si>
    <t>B</t>
  </si>
  <si>
    <t>Big basket</t>
  </si>
  <si>
    <t>C</t>
  </si>
  <si>
    <t>D</t>
  </si>
  <si>
    <t>Flipkart</t>
  </si>
  <si>
    <t>Shopclues</t>
  </si>
  <si>
    <t>Online Sales Tracker</t>
  </si>
  <si>
    <t>TIPS:--</t>
  </si>
  <si>
    <t>Sales Summary</t>
  </si>
  <si>
    <t>Volume Breakup</t>
  </si>
  <si>
    <t>Volume</t>
  </si>
  <si>
    <t>TOTAL</t>
  </si>
  <si>
    <t>Product-wise Profit Breakup</t>
  </si>
  <si>
    <t>Big Basket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</si>
</sst>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_-[$$-409]* #,##0.00_ ;_-[$$-409]* \-#,##0.00\ ;_-[$$-409]* &quot;-&quot;??_ ;_-@_ "/>
    <numFmt numFmtId="182" formatCode="0.00_);[Red]\(0.00\)"/>
  </numFmts>
  <fonts count="33">
    <font>
      <sz val="11"/>
      <color theme="1"/>
      <name val="Calibri"/>
      <charset val="134"/>
      <scheme val="minor"/>
    </font>
    <font>
      <b/>
      <u/>
      <sz val="35"/>
      <color rgb="FFFFFF00"/>
      <name val="Lucida Calligraphy"/>
      <charset val="134"/>
    </font>
    <font>
      <b/>
      <u/>
      <sz val="25"/>
      <color rgb="FFFFFF00"/>
      <name val="Lucida Calligraphy"/>
      <charset val="134"/>
    </font>
    <font>
      <b/>
      <sz val="25"/>
      <color theme="0"/>
      <name val="Lucida Calligraphy"/>
      <charset val="134"/>
    </font>
    <font>
      <b/>
      <sz val="18"/>
      <color theme="1"/>
      <name val="Calibri"/>
      <charset val="134"/>
      <scheme val="minor"/>
    </font>
    <font>
      <b/>
      <sz val="25"/>
      <color theme="0"/>
      <name val="Times New Roman"/>
      <charset val="134"/>
    </font>
    <font>
      <b/>
      <sz val="20"/>
      <color theme="0"/>
      <name val="Times New Roman"/>
      <charset val="134"/>
    </font>
    <font>
      <b/>
      <sz val="15"/>
      <color theme="0"/>
      <name val="Times New Roman"/>
      <charset val="134"/>
    </font>
    <font>
      <b/>
      <sz val="10"/>
      <color theme="0"/>
      <name val="Times New Roman"/>
      <charset val="134"/>
    </font>
    <font>
      <b/>
      <sz val="14"/>
      <color theme="0"/>
      <name val="Times New Roman"/>
      <charset val="134"/>
    </font>
    <font>
      <sz val="10"/>
      <color theme="0"/>
      <name val="Times New Roman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1"/>
      <color theme="0"/>
      <name val="Times New Roman"/>
      <charset val="134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6" applyNumberFormat="0" applyAlignment="0" applyProtection="0">
      <alignment vertical="center"/>
    </xf>
    <xf numFmtId="0" fontId="23" fillId="10" borderId="17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11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6" applyFont="1" applyFill="1" applyBorder="1" applyAlignment="1" applyProtection="1">
      <alignment horizontal="center" vertical="center"/>
    </xf>
    <xf numFmtId="0" fontId="2" fillId="3" borderId="1" xfId="6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80" fontId="12" fillId="6" borderId="1" xfId="0" applyNumberFormat="1" applyFont="1" applyFill="1" applyBorder="1" applyAlignment="1">
      <alignment horizontal="center" vertical="center"/>
    </xf>
    <xf numFmtId="180" fontId="13" fillId="3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81" fontId="13" fillId="3" borderId="1" xfId="2" applyNumberFormat="1" applyFont="1" applyFill="1" applyBorder="1" applyAlignment="1">
      <alignment horizontal="center" vertical="center"/>
    </xf>
    <xf numFmtId="182" fontId="13" fillId="3" borderId="1" xfId="3" applyNumberFormat="1" applyFont="1" applyFill="1" applyBorder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33300"/>
      <color rgb="00DCEEF2"/>
      <color rgb="00FFCC99"/>
      <color rgb="00FF7C80"/>
      <color rgb="00FF9999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Website</a:t>
            </a:r>
          </a:p>
        </c:rich>
      </c:tx>
      <c:layout>
        <c:manualLayout>
          <c:xMode val="edge"/>
          <c:yMode val="edge"/>
          <c:x val="0.590187344892745"/>
          <c:y val="0.05748840021698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Tracker'!$C$7:$C$12</c15:sqref>
                  </c15:fullRef>
                </c:ext>
              </c:extLst>
              <c:f>'Online Sales Tracker'!$C$7:$C$11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'Online Sales Tracker'!$D$6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Tracker'!$D$7:$D$12</c15:sqref>
                        </c15:fullRef>
                        <c15:formulaRef>
                          <c15:sqref>'Online Sales Tracker'!$D$7:$D$11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</c:v>
                      </c:pt>
                      <c:pt idx="1">
                        <c:v>60</c:v>
                      </c:pt>
                      <c:pt idx="2">
                        <c:v>40</c:v>
                      </c:pt>
                      <c:pt idx="3">
                        <c:v>20</c:v>
                      </c:pt>
                      <c:pt idx="4">
                        <c:v>60</c:v>
                      </c:pt>
                    </c:numCache>
                  </c:numRef>
                </c:val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'Online Sales Tracker'!$E$6</c15:sqref>
                        </c15:formulaRef>
                      </c:ext>
                    </c:extLst>
                    <c:strCache>
                      <c:ptCount val="1"/>
                      <c:pt idx="0">
                        <c:v>Big basket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Tracker'!$E$7:$E$12</c15:sqref>
                        </c15:fullRef>
                        <c15:formulaRef>
                          <c15:sqref>'Online Sales Tracker'!$E$7:$E$11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40</c:v>
                      </c:pt>
                      <c:pt idx="1">
                        <c:v>115</c:v>
                      </c:pt>
                      <c:pt idx="2">
                        <c:v>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'Online Sales Tracker'!$F$6</c15:sqref>
                        </c15:formulaRef>
                      </c:ext>
                    </c:extLst>
                    <c:strCache>
                      <c:ptCount val="1"/>
                      <c:pt idx="0">
                        <c:v>Flipkart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Tracker'!$F$7:$F$12</c15:sqref>
                        </c15:fullRef>
                        <c15:formulaRef>
                          <c15:sqref>'Online Sales Tracker'!$F$7:$F$11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50</c:v>
                      </c:pt>
                      <c:pt idx="2">
                        <c:v>40</c:v>
                      </c:pt>
                      <c:pt idx="3">
                        <c:v>70</c:v>
                      </c:pt>
                      <c:pt idx="4">
                        <c:v>200</c:v>
                      </c:pt>
                    </c:numCache>
                  </c:numRef>
                </c:val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'Online Sales Tracker'!$G$6</c15:sqref>
                        </c15:formulaRef>
                      </c:ext>
                    </c:extLst>
                    <c:strCache>
                      <c:ptCount val="1"/>
                      <c:pt idx="0">
                        <c:v>Shopclues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Tracker'!$G$7:$G$12</c15:sqref>
                        </c15:fullRef>
                        <c15:formulaRef>
                          <c15:sqref>'Online Sales Tracker'!$G$7:$G$11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4597982268419"/>
          <c:y val="0.340452261306533"/>
          <c:w val="0.113115255273617"/>
          <c:h val="0.6092964824120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65972a0-bb7d-44c6-8d42-6acf09f8e7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Amazon</a:t>
            </a: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2"/>
        </c:manualLayout>
      </c:layout>
      <c:pieChart>
        <c:varyColors val="1"/>
        <c:ser>
          <c:idx val="1"/>
          <c:order val="1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Tracker'!$D$7:$D$12</c15:sqref>
                  </c15:fullRef>
                </c:ext>
              </c:extLst>
              <c:f>'Online Sales Tracker'!$D$7:$D$11</c:f>
              <c:numCache>
                <c:formatCode>General</c:formatCode>
                <c:ptCount val="5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Tracker'!$C$6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Tracker'!$C$7:$C$12</c15:sqref>
                        </c15:fullRef>
                        <c15:formulaRef>
                          <c15:sqref>'Online Sales Tracker'!$C$7:$C$11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80</c:v>
                      </c:pt>
                      <c:pt idx="3">
                        <c:v>45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'Online Sales Tracker'!$E$6</c15:sqref>
                        </c15:formulaRef>
                      </c:ext>
                    </c:extLst>
                    <c:strCache>
                      <c:ptCount val="1"/>
                      <c:pt idx="0">
                        <c:v>Big basket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Tracker'!$E$7:$E$12</c15:sqref>
                        </c15:fullRef>
                        <c15:formulaRef>
                          <c15:sqref>'Online Sales Tracker'!$E$7:$E$11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40</c:v>
                      </c:pt>
                      <c:pt idx="1">
                        <c:v>115</c:v>
                      </c:pt>
                      <c:pt idx="2">
                        <c:v>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'Online Sales Tracker'!$F$6</c15:sqref>
                        </c15:formulaRef>
                      </c:ext>
                    </c:extLst>
                    <c:strCache>
                      <c:ptCount val="1"/>
                      <c:pt idx="0">
                        <c:v>Flipkart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Tracker'!$F$7:$F$12</c15:sqref>
                        </c15:fullRef>
                        <c15:formulaRef>
                          <c15:sqref>'Online Sales Tracker'!$F$7:$F$11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50</c:v>
                      </c:pt>
                      <c:pt idx="2">
                        <c:v>40</c:v>
                      </c:pt>
                      <c:pt idx="3">
                        <c:v>70</c:v>
                      </c:pt>
                      <c:pt idx="4">
                        <c:v>200</c:v>
                      </c:pt>
                    </c:numCache>
                  </c:numRef>
                </c:val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'Online Sales Tracker'!$G$6</c15:sqref>
                        </c15:formulaRef>
                      </c:ext>
                    </c:extLst>
                    <c:strCache>
                      <c:ptCount val="1"/>
                      <c:pt idx="0">
                        <c:v>Shopclues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Tracker'!$G$7:$G$12</c15:sqref>
                        </c15:fullRef>
                        <c15:formulaRef>
                          <c15:sqref>'Online Sales Tracker'!$G$7:$G$11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5335820895522"/>
          <c:y val="0.24055829228243"/>
          <c:w val="0.083955223880597"/>
          <c:h val="0.562397372742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c0bb52b-ee20-4d39-b0c2-42c5eda8eb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Big basket</a:t>
            </a:r>
          </a:p>
        </c:rich>
      </c:tx>
      <c:layout>
        <c:manualLayout>
          <c:xMode val="edge"/>
          <c:yMode val="edge"/>
          <c:x val="0.511311832761893"/>
          <c:y val="0.0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2"/>
          <c:order val="2"/>
          <c:tx>
            <c:strRef>
              <c:f>'Online Sales Tracker'!$E$6</c:f>
              <c:strCache>
                <c:ptCount val="1"/>
                <c:pt idx="0">
                  <c:v>Big basket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Tracker'!$E$7:$E$12</c15:sqref>
                  </c15:fullRef>
                </c:ext>
              </c:extLst>
              <c:f>'Online Sales Tracker'!$E$7:$E$11</c:f>
              <c:numCache>
                <c:formatCode>General</c:formatCode>
                <c:ptCount val="5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Tracker'!$F$7:$F$12</c15:sqref>
                  </c15:fullRef>
                </c:ext>
              </c:extLst>
              <c:f>'Online Sales Tracker'!$F$7:$F$11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Tracker'!$C$6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Tracker'!$C$7:$C$12</c15:sqref>
                        </c15:fullRef>
                        <c15:formulaRef>
                          <c15:sqref>'Online Sales Tracker'!$C$7:$C$11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80</c:v>
                      </c:pt>
                      <c:pt idx="3">
                        <c:v>45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'Online Sales Tracker'!$D$6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Tracker'!$D$7:$D$12</c15:sqref>
                        </c15:fullRef>
                        <c15:formulaRef>
                          <c15:sqref>'Online Sales Tracker'!$D$7:$D$11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</c:v>
                      </c:pt>
                      <c:pt idx="1">
                        <c:v>60</c:v>
                      </c:pt>
                      <c:pt idx="2">
                        <c:v>40</c:v>
                      </c:pt>
                      <c:pt idx="3">
                        <c:v>20</c:v>
                      </c:pt>
                      <c:pt idx="4">
                        <c:v>60</c:v>
                      </c:pt>
                    </c:numCache>
                  </c:numRef>
                </c:val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'Online Sales Tracker'!$G$6</c15:sqref>
                        </c15:formulaRef>
                      </c:ext>
                    </c:extLst>
                    <c:strCache>
                      <c:ptCount val="1"/>
                      <c:pt idx="0">
                        <c:v>Shopclues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Tracker'!$G$7:$G$12</c15:sqref>
                        </c15:fullRef>
                        <c15:formulaRef>
                          <c15:sqref>'Online Sales Tracker'!$G$7:$G$11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3177317731773"/>
          <c:y val="0.35"/>
          <c:w val="0.108610861086109"/>
          <c:h val="0.63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8e1bf6f-c2f7-4f5a-a9d2-81861ac5e2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Flipkart</a:t>
            </a: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664242511818"/>
          <c:y val="0.0932607893240115"/>
          <c:w val="0.62895789833737"/>
          <c:h val="0.888454099852291"/>
        </c:manualLayout>
      </c:layout>
      <c:pieChart>
        <c:varyColors val="1"/>
        <c:ser>
          <c:idx val="3"/>
          <c:order val="3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Tracker'!$F$7:$F$12</c15:sqref>
                  </c15:fullRef>
                </c:ext>
              </c:extLst>
              <c:f>'Online Sales Tracker'!$F$7:$F$11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Tracker'!$C$6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Tracker'!$C$7:$C$12</c15:sqref>
                        </c15:fullRef>
                        <c15:formulaRef>
                          <c15:sqref>'Online Sales Tracker'!$C$7:$C$11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80</c:v>
                      </c:pt>
                      <c:pt idx="3">
                        <c:v>45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'Online Sales Tracker'!$D$6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Tracker'!$D$7:$D$12</c15:sqref>
                        </c15:fullRef>
                        <c15:formulaRef>
                          <c15:sqref>'Online Sales Tracker'!$D$7:$D$11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</c:v>
                      </c:pt>
                      <c:pt idx="1">
                        <c:v>60</c:v>
                      </c:pt>
                      <c:pt idx="2">
                        <c:v>40</c:v>
                      </c:pt>
                      <c:pt idx="3">
                        <c:v>20</c:v>
                      </c:pt>
                      <c:pt idx="4">
                        <c:v>60</c:v>
                      </c:pt>
                    </c:numCache>
                  </c:numRef>
                </c:val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'Online Sales Tracker'!$E$6</c15:sqref>
                        </c15:formulaRef>
                      </c:ext>
                    </c:extLst>
                    <c:strCache>
                      <c:ptCount val="1"/>
                      <c:pt idx="0">
                        <c:v>Big basket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Tracker'!$E$7:$E$12</c15:sqref>
                        </c15:fullRef>
                        <c15:formulaRef>
                          <c15:sqref>'Online Sales Tracker'!$E$7:$E$11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40</c:v>
                      </c:pt>
                      <c:pt idx="1">
                        <c:v>115</c:v>
                      </c:pt>
                      <c:pt idx="2">
                        <c:v>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'Online Sales Tracker'!$G$6</c15:sqref>
                        </c15:formulaRef>
                      </c:ext>
                    </c:extLst>
                    <c:strCache>
                      <c:ptCount val="1"/>
                      <c:pt idx="0">
                        <c:v>Shopclues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Tracker'!$G$7:$G$12</c15:sqref>
                        </c15:fullRef>
                        <c15:formulaRef>
                          <c15:sqref>'Online Sales Tracker'!$G$7:$G$11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338199513382"/>
          <c:y val="0.280456852791878"/>
          <c:w val="0.145377128953771"/>
          <c:h val="0.6687817258883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92471e5-2b21-4cbc-accc-dd5a44682c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Shopclues</a:t>
            </a:r>
          </a:p>
        </c:rich>
      </c:tx>
      <c:layout>
        <c:manualLayout>
          <c:xMode val="edge"/>
          <c:yMode val="edge"/>
          <c:x val="0.57368858596329"/>
          <c:y val="0.013135927191961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4"/>
          <c:order val="4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Tracker'!$G$7:$G$12</c15:sqref>
                  </c15:fullRef>
                </c:ext>
              </c:extLst>
              <c:f>'Online Sales Tracker'!$G$7:$G$11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Tracker'!$C$6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Tracker'!$C$7:$C$12</c15:sqref>
                        </c15:fullRef>
                        <c15:formulaRef>
                          <c15:sqref>'Online Sales Tracker'!$C$7:$C$11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80</c:v>
                      </c:pt>
                      <c:pt idx="3">
                        <c:v>45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'Online Sales Tracker'!$D$6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Tracker'!$D$7:$D$12</c15:sqref>
                        </c15:fullRef>
                        <c15:formulaRef>
                          <c15:sqref>'Online Sales Tracker'!$D$7:$D$11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</c:v>
                      </c:pt>
                      <c:pt idx="1">
                        <c:v>60</c:v>
                      </c:pt>
                      <c:pt idx="2">
                        <c:v>40</c:v>
                      </c:pt>
                      <c:pt idx="3">
                        <c:v>20</c:v>
                      </c:pt>
                      <c:pt idx="4">
                        <c:v>60</c:v>
                      </c:pt>
                    </c:numCache>
                  </c:numRef>
                </c:val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'Online Sales Tracker'!$E$6</c15:sqref>
                        </c15:formulaRef>
                      </c:ext>
                    </c:extLst>
                    <c:strCache>
                      <c:ptCount val="1"/>
                      <c:pt idx="0">
                        <c:v>Big basket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Tracker'!$E$7:$E$12</c15:sqref>
                        </c15:fullRef>
                        <c15:formulaRef>
                          <c15:sqref>'Online Sales Tracker'!$E$7:$E$11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40</c:v>
                      </c:pt>
                      <c:pt idx="1">
                        <c:v>115</c:v>
                      </c:pt>
                      <c:pt idx="2">
                        <c:v>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'Online Sales Tracker'!$F$6</c15:sqref>
                        </c15:formulaRef>
                      </c:ext>
                    </c:extLst>
                    <c:strCache>
                      <c:ptCount val="1"/>
                      <c:pt idx="0">
                        <c:v>Flipkart</c:v>
                      </c:pt>
                    </c:strCache>
                  </c:strRef>
                </c:tx>
                <c:spPr/>
                <c:explosion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solidFill>
                        <a:schemeClr val="bg1"/>
                      </a:solidFill>
                    </a:ln>
                    <a:effectLst/>
                  </c:spPr>
                </c:dPt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'Online Sales Tracker'!$B$7:$B$12</c15:sqref>
                        </c15:fullRef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'Online Sales Tracker'!$F$7:$F$12</c15:sqref>
                        </c15:fullRef>
                        <c15:formulaRef>
                          <c15:sqref>'Online Sales Tracker'!$F$7:$F$11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50</c:v>
                      </c:pt>
                      <c:pt idx="2">
                        <c:v>40</c:v>
                      </c:pt>
                      <c:pt idx="3">
                        <c:v>70</c:v>
                      </c:pt>
                      <c:pt idx="4">
                        <c:v>200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9216159179982"/>
          <c:y val="0.223773265651438"/>
          <c:w val="0.142846133096991"/>
          <c:h val="0.64689350961441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4709c8f-06b7-449d-9249-b05bbd52a6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63510444699626"/>
          <c:y val="0.171710118609548"/>
          <c:w val="0.842582209517372"/>
          <c:h val="0.682888388951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58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6539058458355"/>
          <c:y val="0.313056757444642"/>
          <c:w val="0.0439730988101397"/>
          <c:h val="0.57648256553830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7d7433-a84a-48bd-be18-3acfb832c2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Big Basket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531d001-3a54-4d36-a37d-1332b774af36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Website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Lbls>
            <c:delete val="1"/>
          </c:dLbls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889ee21-095a-4543-95b3-9e896684d974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Amazon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320e0bb-8232-4d3b-8c5f-3704b9817034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Flipkart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182bb83-a726-4e8c-8edf-394694f54266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j-lt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400">
                <a:latin typeface="+mn-lt"/>
              </a:rPr>
              <a:t>Flipkart</a:t>
            </a:r>
            <a:endParaRPr lang="en-US" sz="1400">
              <a:latin typeface="+mn-lt"/>
            </a:endParaRPr>
          </a:p>
        </c:rich>
      </c:tx>
      <c:layout>
        <c:manualLayout>
          <c:xMode val="edge"/>
          <c:yMode val="edge"/>
          <c:x val="0.704831184697086"/>
          <c:y val="0.05120699318180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29513361125502"/>
          <c:y val="0.026200911511359"/>
          <c:w val="0.62895789833737"/>
          <c:h val="0.888454099852291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elete val="1"/>
          </c:dLbls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8"/>
          <c:y val="0.272267313944565"/>
          <c:w val="0.142846133096991"/>
          <c:h val="0.646893509614417"/>
        </c:manualLayout>
      </c:layout>
      <c:overlay val="0"/>
      <c:spPr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35c4698-4f99-4060-84fa-52bd366550f1}"/>
      </c:ext>
    </c:extLst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Tracker'!$C$7:$C$12</c15:sqref>
                  </c15:fullRef>
                </c:ext>
              </c:extLst>
              <c:f>'Online Sales Tracker'!$C$7:$C$11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Tracker'!$D$7:$D$12</c15:sqref>
                  </c15:fullRef>
                </c:ext>
              </c:extLst>
              <c:f>'Online Sales Tracker'!$D$7:$D$11</c:f>
              <c:numCache>
                <c:formatCode>General</c:formatCode>
                <c:ptCount val="5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</c:ser>
        <c:ser>
          <c:idx val="2"/>
          <c:order val="2"/>
          <c:tx>
            <c:strRef>
              <c:f>'Online Sales Tracker'!$E$6</c:f>
              <c:strCache>
                <c:ptCount val="1"/>
                <c:pt idx="0">
                  <c:v>Big basket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Tracker'!$E$7:$E$12</c15:sqref>
                  </c15:fullRef>
                </c:ext>
              </c:extLst>
              <c:f>'Online Sales Tracker'!$E$7:$E$11</c:f>
              <c:numCache>
                <c:formatCode>General</c:formatCode>
                <c:ptCount val="5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Tracker'!$F$7:$F$12</c15:sqref>
                  </c15:fullRef>
                </c:ext>
              </c:extLst>
              <c:f>'Online Sales Tracker'!$F$7:$F$11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</c:numCache>
            </c:numRef>
          </c:val>
        </c:ser>
        <c:ser>
          <c:idx val="4"/>
          <c:order val="4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'Online Sales Tracker'!$B$7:$B$12</c15:sqref>
                  </c15:fullRef>
                </c:ext>
              </c:extLst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'Online Sales Tracker'!$G$7:$G$12</c15:sqref>
                  </c15:fullRef>
                </c:ext>
              </c:extLst>
              <c:f>'Online Sales Tracker'!$G$7:$G$11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25511924"/>
        <c:axId val="414542159"/>
      </c:barChart>
      <c:catAx>
        <c:axId val="4255119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542159"/>
        <c:crosses val="autoZero"/>
        <c:auto val="1"/>
        <c:lblAlgn val="ctr"/>
        <c:lblOffset val="100"/>
        <c:noMultiLvlLbl val="0"/>
      </c:catAx>
      <c:valAx>
        <c:axId val="41454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5119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>
      <xdr:nvSpPr>
        <xdr:cNvPr id="2" name="TextBox 1"/>
        <xdr:cNvSpPr txBox="1"/>
      </xdr:nvSpPr>
      <xdr:spPr>
        <a:xfrm>
          <a:off x="9880600" y="1504950"/>
          <a:ext cx="6042025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  <a:endParaRPr lang="en-US" sz="1600" b="1" baseline="0"/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>
      <xdr:nvSpPr>
        <xdr:cNvPr id="3" name="TextBox 2"/>
        <xdr:cNvSpPr txBox="1"/>
      </xdr:nvSpPr>
      <xdr:spPr>
        <a:xfrm>
          <a:off x="142875" y="142875"/>
          <a:ext cx="1407668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>
      <xdr:nvGraphicFramePr>
        <xdr:cNvPr id="3" name="Chart 2"/>
        <xdr:cNvGraphicFramePr/>
      </xdr:nvGraphicFramePr>
      <xdr:xfrm>
        <a:off x="227330" y="8161020"/>
        <a:ext cx="2077720" cy="1516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>
      <xdr:nvGraphicFramePr>
        <xdr:cNvPr id="4" name="Chart 3"/>
        <xdr:cNvGraphicFramePr/>
      </xdr:nvGraphicFramePr>
      <xdr:xfrm>
        <a:off x="2872740" y="8153400"/>
        <a:ext cx="2043430" cy="1546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>
      <xdr:nvGraphicFramePr>
        <xdr:cNvPr id="5" name="Chart 4"/>
        <xdr:cNvGraphicFramePr/>
      </xdr:nvGraphicFramePr>
      <xdr:xfrm>
        <a:off x="5454015" y="8153400"/>
        <a:ext cx="2118360" cy="152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7620</xdr:colOff>
      <xdr:row>43</xdr:row>
      <xdr:rowOff>179705</xdr:rowOff>
    </xdr:from>
    <xdr:to>
      <xdr:col>4</xdr:col>
      <xdr:colOff>38100</xdr:colOff>
      <xdr:row>51</xdr:row>
      <xdr:rowOff>175260</xdr:rowOff>
    </xdr:to>
    <xdr:graphicFrame>
      <xdr:nvGraphicFramePr>
        <xdr:cNvPr id="6" name="Chart 5"/>
        <xdr:cNvGraphicFramePr/>
      </xdr:nvGraphicFramePr>
      <xdr:xfrm>
        <a:off x="1268095" y="9857105"/>
        <a:ext cx="2127250" cy="1519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>
      <xdr:nvGraphicFramePr>
        <xdr:cNvPr id="7" name="Chart 6"/>
        <xdr:cNvGraphicFramePr/>
      </xdr:nvGraphicFramePr>
      <xdr:xfrm>
        <a:off x="4405630" y="9867900"/>
        <a:ext cx="2108200" cy="1501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24765</xdr:colOff>
      <xdr:row>53</xdr:row>
      <xdr:rowOff>28575</xdr:rowOff>
    </xdr:from>
    <xdr:to>
      <xdr:col>8</xdr:col>
      <xdr:colOff>55245</xdr:colOff>
      <xdr:row>66</xdr:row>
      <xdr:rowOff>38099</xdr:rowOff>
    </xdr:to>
    <xdr:graphicFrame>
      <xdr:nvGraphicFramePr>
        <xdr:cNvPr id="8" name="Chart 7"/>
        <xdr:cNvGraphicFramePr/>
      </xdr:nvGraphicFramePr>
      <xdr:xfrm>
        <a:off x="236855" y="11544300"/>
        <a:ext cx="7369175" cy="2494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>
      <xdr:nvGraphicFramePr>
        <xdr:cNvPr id="9" name="Chart 8"/>
        <xdr:cNvGraphicFramePr/>
      </xdr:nvGraphicFramePr>
      <xdr:xfrm>
        <a:off x="5449570" y="14276070"/>
        <a:ext cx="2116455" cy="1685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>
      <xdr:nvGraphicFramePr>
        <xdr:cNvPr id="10" name="Chart 9"/>
        <xdr:cNvGraphicFramePr/>
      </xdr:nvGraphicFramePr>
      <xdr:xfrm>
        <a:off x="227330" y="14268450"/>
        <a:ext cx="2096770" cy="1694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>
      <xdr:nvGraphicFramePr>
        <xdr:cNvPr id="11" name="Chart 10"/>
        <xdr:cNvGraphicFramePr/>
      </xdr:nvGraphicFramePr>
      <xdr:xfrm>
        <a:off x="2781300" y="14291310"/>
        <a:ext cx="2165350" cy="1672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>
      <xdr:nvGraphicFramePr>
        <xdr:cNvPr id="12" name="Chart 11"/>
        <xdr:cNvGraphicFramePr/>
      </xdr:nvGraphicFramePr>
      <xdr:xfrm>
        <a:off x="1240790" y="16198850"/>
        <a:ext cx="2106930" cy="1715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>
      <xdr:nvGraphicFramePr>
        <xdr:cNvPr id="13" name="Chart 12"/>
        <xdr:cNvGraphicFramePr/>
      </xdr:nvGraphicFramePr>
      <xdr:xfrm>
        <a:off x="4397375" y="16184245"/>
        <a:ext cx="2120265" cy="176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>
      <xdr:nvSpPr>
        <xdr:cNvPr id="15" name="TextBox 14"/>
        <xdr:cNvSpPr txBox="1"/>
      </xdr:nvSpPr>
      <xdr:spPr>
        <a:xfrm>
          <a:off x="8906510" y="1219200"/>
          <a:ext cx="7858760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  <a:endParaRPr lang="en-US" sz="1100" baseline="0"/>
        </a:p>
        <a:p>
          <a:r>
            <a:rPr lang="en-US" sz="1100" baseline="0"/>
            <a:t>Website + Amazon + BigBasket + Flipkart + Shopclues</a:t>
          </a:r>
          <a:endParaRPr lang="en-US" sz="1100" baseline="0"/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571500</xdr:colOff>
      <xdr:row>21</xdr:row>
      <xdr:rowOff>0</xdr:rowOff>
    </xdr:from>
    <xdr:to>
      <xdr:col>5</xdr:col>
      <xdr:colOff>819150</xdr:colOff>
      <xdr:row>23</xdr:row>
      <xdr:rowOff>0</xdr:rowOff>
    </xdr:to>
    <xdr:sp>
      <xdr:nvSpPr>
        <xdr:cNvPr id="16" name="TextBox 15"/>
        <xdr:cNvSpPr txBox="1"/>
      </xdr:nvSpPr>
      <xdr:spPr>
        <a:xfrm>
          <a:off x="1831975" y="5476875"/>
          <a:ext cx="3392805" cy="3810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1036955</xdr:colOff>
      <xdr:row>23</xdr:row>
      <xdr:rowOff>73025</xdr:rowOff>
    </xdr:from>
    <xdr:to>
      <xdr:col>6</xdr:col>
      <xdr:colOff>483870</xdr:colOff>
      <xdr:row>33</xdr:row>
      <xdr:rowOff>168275</xdr:rowOff>
    </xdr:to>
    <xdr:graphicFrame>
      <xdr:nvGraphicFramePr>
        <xdr:cNvPr id="14" name="Chart 13"/>
        <xdr:cNvGraphicFramePr/>
      </xdr:nvGraphicFramePr>
      <xdr:xfrm>
        <a:off x="1249045" y="5930900"/>
        <a:ext cx="4688840" cy="2000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0.572761194029851</cdr:x>
      <cdr:y>0.0328407224958949</cdr:y>
    </cdr:from>
    <cdr:to>
      <cdr:x>0.987873134328358</cdr:x>
      <cdr:y>0.180623973727422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1169670" y="50800"/>
          <a:ext cx="847725" cy="228600"/>
        </a:xfrm>
        <a:prstGeom xmlns:a="http://schemas.openxmlformats.org/drawingml/2006/main"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/>
            <a:t>Amazon</a:t>
          </a:r>
          <a:endParaRPr lang="en-US" sz="11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N36"/>
  <sheetViews>
    <sheetView topLeftCell="A4" workbookViewId="0">
      <selection activeCell="L8" sqref="L8:L35"/>
    </sheetView>
  </sheetViews>
  <sheetFormatPr defaultColWidth="9.18095238095238" defaultRowHeight="15"/>
  <cols>
    <col min="1" max="1" width="3.18095238095238" style="32" customWidth="1"/>
    <col min="2" max="3" width="11.2666666666667" style="32" customWidth="1"/>
    <col min="4" max="4" width="10.5428571428571" style="32" customWidth="1"/>
    <col min="5" max="5" width="11.4571428571429" style="32" customWidth="1"/>
    <col min="6" max="6" width="17.4571428571429" style="32" customWidth="1"/>
    <col min="7" max="7" width="13.7238095238095" style="32" customWidth="1"/>
    <col min="8" max="8" width="12.5428571428571" style="32" customWidth="1"/>
    <col min="9" max="9" width="8.45714285714286" style="32" customWidth="1"/>
    <col min="10" max="10" width="10" style="32" customWidth="1"/>
    <col min="11" max="11" width="14.8190476190476" style="32" customWidth="1"/>
    <col min="12" max="12" width="11.7238095238095" style="32" customWidth="1"/>
    <col min="13" max="13" width="3.18095238095238" style="32" customWidth="1"/>
    <col min="14" max="16" width="10.2666666666667" style="32" customWidth="1"/>
    <col min="17" max="17" width="12.2666666666667" style="32" customWidth="1"/>
    <col min="18" max="18" width="10.5428571428571" style="32" customWidth="1"/>
    <col min="19" max="19" width="12.1809523809524" style="32" customWidth="1"/>
    <col min="20" max="16384" width="9.18095238095238" style="32"/>
  </cols>
  <sheetData>
    <row r="5" ht="15.75" spans="1:14">
      <c r="A5" s="27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ht="31.5" spans="1:14">
      <c r="A6" s="27"/>
      <c r="B6" s="34" t="s">
        <v>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3"/>
    </row>
    <row r="7" ht="19.5" spans="1:14">
      <c r="A7" s="27"/>
      <c r="B7" s="17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I7" s="17" t="s">
        <v>8</v>
      </c>
      <c r="J7" s="17" t="s">
        <v>9</v>
      </c>
      <c r="K7" s="17" t="s">
        <v>10</v>
      </c>
      <c r="L7" s="17" t="s">
        <v>11</v>
      </c>
      <c r="M7" s="35"/>
    </row>
    <row r="8" ht="15.75" spans="1:14">
      <c r="A8" s="27"/>
      <c r="B8" s="36">
        <v>43009</v>
      </c>
      <c r="C8" s="37" t="str">
        <f>TEXT(B8,"dddd")</f>
        <v>Sunday</v>
      </c>
      <c r="D8" s="38" t="s">
        <v>12</v>
      </c>
      <c r="E8" s="38">
        <v>25</v>
      </c>
      <c r="F8" s="39" t="s">
        <v>13</v>
      </c>
      <c r="G8" s="40">
        <v>10</v>
      </c>
      <c r="H8" s="40">
        <v>15</v>
      </c>
      <c r="I8" s="40">
        <f>H8-G8</f>
        <v>5</v>
      </c>
      <c r="J8" s="41">
        <f>I8*H8</f>
        <v>75</v>
      </c>
      <c r="K8" s="40">
        <f>I8*E8</f>
        <v>125</v>
      </c>
      <c r="L8" s="40">
        <f>H8*E8</f>
        <v>375</v>
      </c>
      <c r="M8" s="35"/>
    </row>
    <row r="9" ht="15.75" spans="1:14">
      <c r="A9" s="27"/>
      <c r="B9" s="36">
        <v>43009</v>
      </c>
      <c r="C9" s="37" t="str">
        <f t="shared" ref="C9:C35" si="0">TEXT(B9,"dddd")</f>
        <v>Sunday</v>
      </c>
      <c r="D9" s="38" t="s">
        <v>12</v>
      </c>
      <c r="E9" s="38">
        <v>10</v>
      </c>
      <c r="F9" s="39" t="s">
        <v>14</v>
      </c>
      <c r="G9" s="40">
        <v>10</v>
      </c>
      <c r="H9" s="40">
        <v>15</v>
      </c>
      <c r="I9" s="40">
        <f t="shared" ref="I9:I35" si="1">H9-G9</f>
        <v>5</v>
      </c>
      <c r="J9" s="41">
        <f t="shared" ref="J9:J35" si="2">I9*H9</f>
        <v>75</v>
      </c>
      <c r="K9" s="40">
        <f t="shared" ref="K9:K35" si="3">I9*E9</f>
        <v>50</v>
      </c>
      <c r="L9" s="40">
        <f t="shared" ref="L9:L35" si="4">H9*E9</f>
        <v>150</v>
      </c>
      <c r="M9" s="35"/>
    </row>
    <row r="10" ht="15.75" spans="1:14">
      <c r="A10" s="27"/>
      <c r="B10" s="36">
        <v>43009</v>
      </c>
      <c r="C10" s="37" t="str">
        <f t="shared" si="0"/>
        <v>Sunday</v>
      </c>
      <c r="D10" s="38" t="s">
        <v>15</v>
      </c>
      <c r="E10" s="38">
        <v>50</v>
      </c>
      <c r="F10" s="39" t="s">
        <v>13</v>
      </c>
      <c r="G10" s="40">
        <v>8</v>
      </c>
      <c r="H10" s="40">
        <v>10</v>
      </c>
      <c r="I10" s="40">
        <f t="shared" si="1"/>
        <v>2</v>
      </c>
      <c r="J10" s="41">
        <f t="shared" si="2"/>
        <v>20</v>
      </c>
      <c r="K10" s="40">
        <f t="shared" si="3"/>
        <v>100</v>
      </c>
      <c r="L10" s="40">
        <f t="shared" si="4"/>
        <v>500</v>
      </c>
      <c r="M10" s="35"/>
    </row>
    <row r="11" ht="15.75" spans="1:14">
      <c r="A11" s="27"/>
      <c r="B11" s="36">
        <v>43010</v>
      </c>
      <c r="C11" s="37" t="str">
        <f t="shared" si="0"/>
        <v>Monday</v>
      </c>
      <c r="D11" s="38" t="s">
        <v>16</v>
      </c>
      <c r="E11" s="38">
        <v>25</v>
      </c>
      <c r="F11" s="39" t="s">
        <v>17</v>
      </c>
      <c r="G11" s="40">
        <v>5</v>
      </c>
      <c r="H11" s="40">
        <v>10</v>
      </c>
      <c r="I11" s="40">
        <f t="shared" si="1"/>
        <v>5</v>
      </c>
      <c r="J11" s="41">
        <f t="shared" si="2"/>
        <v>50</v>
      </c>
      <c r="K11" s="40">
        <f t="shared" si="3"/>
        <v>125</v>
      </c>
      <c r="L11" s="40">
        <f t="shared" si="4"/>
        <v>250</v>
      </c>
      <c r="M11" s="35"/>
    </row>
    <row r="12" ht="15.75" spans="1:14">
      <c r="A12" s="27"/>
      <c r="B12" s="36">
        <v>43010</v>
      </c>
      <c r="C12" s="37" t="str">
        <f t="shared" si="0"/>
        <v>Monday</v>
      </c>
      <c r="D12" s="38" t="s">
        <v>18</v>
      </c>
      <c r="E12" s="38">
        <v>25</v>
      </c>
      <c r="F12" s="39" t="s">
        <v>14</v>
      </c>
      <c r="G12" s="40">
        <v>12</v>
      </c>
      <c r="H12" s="40">
        <v>20</v>
      </c>
      <c r="I12" s="40">
        <f t="shared" si="1"/>
        <v>8</v>
      </c>
      <c r="J12" s="41">
        <f t="shared" si="2"/>
        <v>160</v>
      </c>
      <c r="K12" s="40">
        <f t="shared" si="3"/>
        <v>200</v>
      </c>
      <c r="L12" s="40">
        <f t="shared" si="4"/>
        <v>500</v>
      </c>
      <c r="M12" s="35"/>
    </row>
    <row r="13" ht="15.75" spans="1:14">
      <c r="A13" s="27"/>
      <c r="B13" s="36">
        <v>43012</v>
      </c>
      <c r="C13" s="37" t="str">
        <f t="shared" si="0"/>
        <v>Wednesday</v>
      </c>
      <c r="D13" s="38" t="s">
        <v>15</v>
      </c>
      <c r="E13" s="38">
        <v>10</v>
      </c>
      <c r="F13" s="39" t="s">
        <v>13</v>
      </c>
      <c r="G13" s="40">
        <v>8</v>
      </c>
      <c r="H13" s="40">
        <v>10</v>
      </c>
      <c r="I13" s="40">
        <f t="shared" si="1"/>
        <v>2</v>
      </c>
      <c r="J13" s="41">
        <f t="shared" si="2"/>
        <v>20</v>
      </c>
      <c r="K13" s="40">
        <f t="shared" si="3"/>
        <v>20</v>
      </c>
      <c r="L13" s="40">
        <f t="shared" si="4"/>
        <v>100</v>
      </c>
      <c r="M13" s="35"/>
    </row>
    <row r="14" ht="15.75" spans="1:14">
      <c r="A14" s="27"/>
      <c r="B14" s="36">
        <v>43012</v>
      </c>
      <c r="C14" s="37" t="str">
        <f t="shared" si="0"/>
        <v>Wednesday</v>
      </c>
      <c r="D14" s="38" t="s">
        <v>19</v>
      </c>
      <c r="E14" s="38">
        <v>20</v>
      </c>
      <c r="F14" s="39" t="s">
        <v>20</v>
      </c>
      <c r="G14" s="40">
        <v>20</v>
      </c>
      <c r="H14" s="40">
        <v>30</v>
      </c>
      <c r="I14" s="40">
        <f t="shared" si="1"/>
        <v>10</v>
      </c>
      <c r="J14" s="41">
        <f t="shared" si="2"/>
        <v>300</v>
      </c>
      <c r="K14" s="40">
        <f t="shared" si="3"/>
        <v>200</v>
      </c>
      <c r="L14" s="40">
        <f t="shared" si="4"/>
        <v>600</v>
      </c>
      <c r="M14" s="35"/>
    </row>
    <row r="15" ht="15.75" spans="1:14">
      <c r="A15" s="27"/>
      <c r="B15" s="36">
        <v>43013</v>
      </c>
      <c r="C15" s="37" t="str">
        <f t="shared" si="0"/>
        <v>Thursday</v>
      </c>
      <c r="D15" s="38" t="s">
        <v>18</v>
      </c>
      <c r="E15" s="38">
        <v>40</v>
      </c>
      <c r="F15" s="39" t="s">
        <v>13</v>
      </c>
      <c r="G15" s="40">
        <v>12</v>
      </c>
      <c r="H15" s="40">
        <v>20</v>
      </c>
      <c r="I15" s="40">
        <f t="shared" si="1"/>
        <v>8</v>
      </c>
      <c r="J15" s="41">
        <f t="shared" si="2"/>
        <v>160</v>
      </c>
      <c r="K15" s="40">
        <f t="shared" si="3"/>
        <v>320</v>
      </c>
      <c r="L15" s="40">
        <f t="shared" si="4"/>
        <v>800</v>
      </c>
      <c r="M15" s="35"/>
      <c r="N15" s="42"/>
    </row>
    <row r="16" ht="15.75" spans="1:14">
      <c r="A16" s="27"/>
      <c r="B16" s="36">
        <v>43013</v>
      </c>
      <c r="C16" s="37" t="str">
        <f t="shared" si="0"/>
        <v>Thursday</v>
      </c>
      <c r="D16" s="38" t="s">
        <v>19</v>
      </c>
      <c r="E16" s="38">
        <v>50</v>
      </c>
      <c r="F16" s="39" t="s">
        <v>20</v>
      </c>
      <c r="G16" s="40">
        <v>20</v>
      </c>
      <c r="H16" s="40">
        <v>30</v>
      </c>
      <c r="I16" s="40">
        <f t="shared" si="1"/>
        <v>10</v>
      </c>
      <c r="J16" s="41">
        <f t="shared" si="2"/>
        <v>300</v>
      </c>
      <c r="K16" s="40">
        <f t="shared" si="3"/>
        <v>500</v>
      </c>
      <c r="L16" s="40">
        <f t="shared" si="4"/>
        <v>1500</v>
      </c>
      <c r="M16" s="35"/>
    </row>
    <row r="17" ht="15.75" spans="1:13">
      <c r="A17" s="27"/>
      <c r="B17" s="36">
        <v>43014</v>
      </c>
      <c r="C17" s="37" t="str">
        <f t="shared" si="0"/>
        <v>Friday</v>
      </c>
      <c r="D17" s="38" t="s">
        <v>15</v>
      </c>
      <c r="E17" s="38">
        <v>100</v>
      </c>
      <c r="F17" s="39" t="s">
        <v>20</v>
      </c>
      <c r="G17" s="40">
        <v>8</v>
      </c>
      <c r="H17" s="40">
        <v>10</v>
      </c>
      <c r="I17" s="40">
        <f t="shared" si="1"/>
        <v>2</v>
      </c>
      <c r="J17" s="41">
        <f t="shared" si="2"/>
        <v>20</v>
      </c>
      <c r="K17" s="40">
        <f t="shared" si="3"/>
        <v>200</v>
      </c>
      <c r="L17" s="40">
        <f t="shared" si="4"/>
        <v>1000</v>
      </c>
      <c r="M17" s="35"/>
    </row>
    <row r="18" ht="15.75" spans="1:13">
      <c r="A18" s="27"/>
      <c r="B18" s="36">
        <v>43015</v>
      </c>
      <c r="C18" s="37" t="str">
        <f t="shared" si="0"/>
        <v>Saturday</v>
      </c>
      <c r="D18" s="38" t="s">
        <v>19</v>
      </c>
      <c r="E18" s="38">
        <v>25</v>
      </c>
      <c r="F18" s="39" t="s">
        <v>17</v>
      </c>
      <c r="G18" s="40">
        <v>20</v>
      </c>
      <c r="H18" s="40">
        <v>30</v>
      </c>
      <c r="I18" s="40">
        <f t="shared" si="1"/>
        <v>10</v>
      </c>
      <c r="J18" s="41">
        <f t="shared" si="2"/>
        <v>300</v>
      </c>
      <c r="K18" s="40">
        <f t="shared" si="3"/>
        <v>250</v>
      </c>
      <c r="L18" s="40">
        <f t="shared" si="4"/>
        <v>750</v>
      </c>
      <c r="M18" s="35"/>
    </row>
    <row r="19" ht="15.75" spans="1:13">
      <c r="A19" s="27"/>
      <c r="B19" s="36">
        <v>43016</v>
      </c>
      <c r="C19" s="37" t="str">
        <f t="shared" si="0"/>
        <v>Sunday</v>
      </c>
      <c r="D19" s="38" t="s">
        <v>12</v>
      </c>
      <c r="E19" s="38">
        <v>40</v>
      </c>
      <c r="F19" s="39" t="s">
        <v>17</v>
      </c>
      <c r="G19" s="40">
        <v>10</v>
      </c>
      <c r="H19" s="40">
        <v>15</v>
      </c>
      <c r="I19" s="40">
        <f t="shared" si="1"/>
        <v>5</v>
      </c>
      <c r="J19" s="41">
        <f t="shared" si="2"/>
        <v>75</v>
      </c>
      <c r="K19" s="40">
        <f t="shared" si="3"/>
        <v>200</v>
      </c>
      <c r="L19" s="40">
        <f t="shared" si="4"/>
        <v>600</v>
      </c>
      <c r="M19" s="35"/>
    </row>
    <row r="20" ht="15.75" spans="1:13">
      <c r="A20" s="27"/>
      <c r="B20" s="36">
        <v>43018</v>
      </c>
      <c r="C20" s="37" t="str">
        <f t="shared" si="0"/>
        <v>Tuesday</v>
      </c>
      <c r="D20" s="38" t="s">
        <v>16</v>
      </c>
      <c r="E20" s="38">
        <v>20</v>
      </c>
      <c r="F20" s="39" t="s">
        <v>14</v>
      </c>
      <c r="G20" s="40">
        <v>5</v>
      </c>
      <c r="H20" s="40">
        <v>10</v>
      </c>
      <c r="I20" s="40">
        <f t="shared" si="1"/>
        <v>5</v>
      </c>
      <c r="J20" s="41">
        <f t="shared" si="2"/>
        <v>50</v>
      </c>
      <c r="K20" s="40">
        <f t="shared" si="3"/>
        <v>100</v>
      </c>
      <c r="L20" s="40">
        <f t="shared" si="4"/>
        <v>200</v>
      </c>
      <c r="M20" s="35"/>
    </row>
    <row r="21" ht="15.75" spans="1:13">
      <c r="A21" s="27"/>
      <c r="B21" s="36">
        <v>43018</v>
      </c>
      <c r="C21" s="37" t="str">
        <f t="shared" si="0"/>
        <v>Tuesday</v>
      </c>
      <c r="D21" s="38" t="s">
        <v>18</v>
      </c>
      <c r="E21" s="38">
        <v>100</v>
      </c>
      <c r="F21" s="39" t="s">
        <v>21</v>
      </c>
      <c r="G21" s="40">
        <v>12</v>
      </c>
      <c r="H21" s="40">
        <v>20</v>
      </c>
      <c r="I21" s="40">
        <f t="shared" si="1"/>
        <v>8</v>
      </c>
      <c r="J21" s="41">
        <f t="shared" si="2"/>
        <v>160</v>
      </c>
      <c r="K21" s="40">
        <f t="shared" si="3"/>
        <v>800</v>
      </c>
      <c r="L21" s="40">
        <f t="shared" si="4"/>
        <v>2000</v>
      </c>
      <c r="M21" s="35"/>
    </row>
    <row r="22" ht="15.75" spans="1:13">
      <c r="A22" s="27"/>
      <c r="B22" s="36">
        <v>43019</v>
      </c>
      <c r="C22" s="37" t="str">
        <f t="shared" si="0"/>
        <v>Wednesday</v>
      </c>
      <c r="D22" s="38" t="s">
        <v>18</v>
      </c>
      <c r="E22" s="38">
        <v>25</v>
      </c>
      <c r="F22" s="39" t="s">
        <v>14</v>
      </c>
      <c r="G22" s="40">
        <v>12</v>
      </c>
      <c r="H22" s="40">
        <v>20</v>
      </c>
      <c r="I22" s="40">
        <f t="shared" si="1"/>
        <v>8</v>
      </c>
      <c r="J22" s="41">
        <f t="shared" si="2"/>
        <v>160</v>
      </c>
      <c r="K22" s="40">
        <f t="shared" si="3"/>
        <v>200</v>
      </c>
      <c r="L22" s="40">
        <f t="shared" si="4"/>
        <v>500</v>
      </c>
      <c r="M22" s="35"/>
    </row>
    <row r="23" ht="15.75" spans="1:13">
      <c r="A23" s="27"/>
      <c r="B23" s="36">
        <v>43021</v>
      </c>
      <c r="C23" s="37" t="str">
        <f t="shared" si="0"/>
        <v>Friday</v>
      </c>
      <c r="D23" s="38" t="s">
        <v>16</v>
      </c>
      <c r="E23" s="38">
        <v>40</v>
      </c>
      <c r="F23" s="39" t="s">
        <v>17</v>
      </c>
      <c r="G23" s="40">
        <v>5</v>
      </c>
      <c r="H23" s="40">
        <v>10</v>
      </c>
      <c r="I23" s="40">
        <f t="shared" si="1"/>
        <v>5</v>
      </c>
      <c r="J23" s="41">
        <f t="shared" si="2"/>
        <v>50</v>
      </c>
      <c r="K23" s="40">
        <f t="shared" si="3"/>
        <v>200</v>
      </c>
      <c r="L23" s="40">
        <f t="shared" si="4"/>
        <v>400</v>
      </c>
      <c r="M23" s="35"/>
    </row>
    <row r="24" ht="15.75" spans="1:13">
      <c r="A24" s="27"/>
      <c r="B24" s="36">
        <v>43022</v>
      </c>
      <c r="C24" s="37" t="str">
        <f t="shared" si="0"/>
        <v>Saturday</v>
      </c>
      <c r="D24" s="38" t="s">
        <v>19</v>
      </c>
      <c r="E24" s="38">
        <v>25</v>
      </c>
      <c r="F24" s="39" t="s">
        <v>14</v>
      </c>
      <c r="G24" s="40">
        <v>20</v>
      </c>
      <c r="H24" s="40">
        <v>30</v>
      </c>
      <c r="I24" s="40">
        <f t="shared" si="1"/>
        <v>10</v>
      </c>
      <c r="J24" s="41">
        <f t="shared" si="2"/>
        <v>300</v>
      </c>
      <c r="K24" s="40">
        <f t="shared" si="3"/>
        <v>250</v>
      </c>
      <c r="L24" s="40">
        <f t="shared" si="4"/>
        <v>750</v>
      </c>
      <c r="M24" s="35"/>
    </row>
    <row r="25" ht="15.75" spans="1:13">
      <c r="A25" s="27"/>
      <c r="B25" s="36">
        <v>43024</v>
      </c>
      <c r="C25" s="37" t="str">
        <f t="shared" si="0"/>
        <v>Monday</v>
      </c>
      <c r="D25" s="38" t="s">
        <v>16</v>
      </c>
      <c r="E25" s="38">
        <v>50</v>
      </c>
      <c r="F25" s="39" t="s">
        <v>20</v>
      </c>
      <c r="G25" s="40">
        <v>5</v>
      </c>
      <c r="H25" s="40">
        <v>10</v>
      </c>
      <c r="I25" s="40">
        <f t="shared" si="1"/>
        <v>5</v>
      </c>
      <c r="J25" s="41">
        <f t="shared" si="2"/>
        <v>50</v>
      </c>
      <c r="K25" s="40">
        <f t="shared" si="3"/>
        <v>250</v>
      </c>
      <c r="L25" s="40">
        <f t="shared" si="4"/>
        <v>500</v>
      </c>
      <c r="M25" s="35"/>
    </row>
    <row r="26" ht="15.75" spans="1:13">
      <c r="A26" s="27"/>
      <c r="B26" s="36">
        <v>43024</v>
      </c>
      <c r="C26" s="37" t="str">
        <f t="shared" si="0"/>
        <v>Monday</v>
      </c>
      <c r="D26" s="38" t="s">
        <v>18</v>
      </c>
      <c r="E26" s="38">
        <v>30</v>
      </c>
      <c r="F26" s="39" t="s">
        <v>14</v>
      </c>
      <c r="G26" s="40">
        <v>12</v>
      </c>
      <c r="H26" s="40">
        <v>20</v>
      </c>
      <c r="I26" s="40">
        <f t="shared" si="1"/>
        <v>8</v>
      </c>
      <c r="J26" s="41">
        <f t="shared" si="2"/>
        <v>160</v>
      </c>
      <c r="K26" s="40">
        <f t="shared" si="3"/>
        <v>240</v>
      </c>
      <c r="L26" s="40">
        <f t="shared" si="4"/>
        <v>600</v>
      </c>
      <c r="M26" s="35"/>
    </row>
    <row r="27" ht="15.75" spans="1:13">
      <c r="A27" s="27"/>
      <c r="B27" s="36">
        <v>43025</v>
      </c>
      <c r="C27" s="37" t="str">
        <f t="shared" si="0"/>
        <v>Tuesday</v>
      </c>
      <c r="D27" s="38" t="s">
        <v>19</v>
      </c>
      <c r="E27" s="38">
        <v>25</v>
      </c>
      <c r="F27" s="39" t="s">
        <v>21</v>
      </c>
      <c r="G27" s="40">
        <v>20</v>
      </c>
      <c r="H27" s="40">
        <v>30</v>
      </c>
      <c r="I27" s="40">
        <f t="shared" si="1"/>
        <v>10</v>
      </c>
      <c r="J27" s="41">
        <f t="shared" si="2"/>
        <v>300</v>
      </c>
      <c r="K27" s="40">
        <f t="shared" si="3"/>
        <v>250</v>
      </c>
      <c r="L27" s="40">
        <f t="shared" si="4"/>
        <v>750</v>
      </c>
      <c r="M27" s="35"/>
    </row>
    <row r="28" ht="15.75" spans="1:13">
      <c r="A28" s="27"/>
      <c r="B28" s="36">
        <v>43029</v>
      </c>
      <c r="C28" s="37" t="str">
        <f t="shared" si="0"/>
        <v>Saturday</v>
      </c>
      <c r="D28" s="38" t="s">
        <v>16</v>
      </c>
      <c r="E28" s="38">
        <v>60</v>
      </c>
      <c r="F28" s="39" t="s">
        <v>13</v>
      </c>
      <c r="G28" s="40">
        <v>5</v>
      </c>
      <c r="H28" s="40">
        <v>10</v>
      </c>
      <c r="I28" s="40">
        <f t="shared" si="1"/>
        <v>5</v>
      </c>
      <c r="J28" s="41">
        <f t="shared" si="2"/>
        <v>50</v>
      </c>
      <c r="K28" s="40">
        <f t="shared" si="3"/>
        <v>300</v>
      </c>
      <c r="L28" s="40">
        <f t="shared" si="4"/>
        <v>600</v>
      </c>
      <c r="M28" s="35"/>
    </row>
    <row r="29" ht="15.75" spans="1:13">
      <c r="A29" s="27"/>
      <c r="B29" s="36">
        <v>43030</v>
      </c>
      <c r="C29" s="37" t="str">
        <f t="shared" si="0"/>
        <v>Sunday</v>
      </c>
      <c r="D29" s="38" t="s">
        <v>15</v>
      </c>
      <c r="E29" s="38">
        <v>100</v>
      </c>
      <c r="F29" s="39" t="s">
        <v>20</v>
      </c>
      <c r="G29" s="40">
        <v>8</v>
      </c>
      <c r="H29" s="40">
        <v>10</v>
      </c>
      <c r="I29" s="40">
        <f t="shared" si="1"/>
        <v>2</v>
      </c>
      <c r="J29" s="41">
        <f t="shared" si="2"/>
        <v>20</v>
      </c>
      <c r="K29" s="40">
        <f t="shared" si="3"/>
        <v>200</v>
      </c>
      <c r="L29" s="40">
        <f t="shared" si="4"/>
        <v>1000</v>
      </c>
      <c r="M29" s="35"/>
    </row>
    <row r="30" ht="15.75" spans="1:13">
      <c r="A30" s="27"/>
      <c r="B30" s="36">
        <v>43032</v>
      </c>
      <c r="C30" s="37" t="str">
        <f t="shared" si="0"/>
        <v>Tuesday</v>
      </c>
      <c r="D30" s="38" t="s">
        <v>19</v>
      </c>
      <c r="E30" s="38">
        <v>20</v>
      </c>
      <c r="F30" s="39" t="s">
        <v>14</v>
      </c>
      <c r="G30" s="40">
        <v>20</v>
      </c>
      <c r="H30" s="40">
        <v>30</v>
      </c>
      <c r="I30" s="40">
        <f t="shared" si="1"/>
        <v>10</v>
      </c>
      <c r="J30" s="41">
        <f t="shared" si="2"/>
        <v>300</v>
      </c>
      <c r="K30" s="40">
        <f t="shared" si="3"/>
        <v>200</v>
      </c>
      <c r="L30" s="40">
        <f t="shared" si="4"/>
        <v>600</v>
      </c>
      <c r="M30" s="35"/>
    </row>
    <row r="31" ht="15.75" spans="1:13">
      <c r="A31" s="27"/>
      <c r="B31" s="36">
        <v>43032</v>
      </c>
      <c r="C31" s="37" t="str">
        <f t="shared" si="0"/>
        <v>Tuesday</v>
      </c>
      <c r="D31" s="38" t="s">
        <v>18</v>
      </c>
      <c r="E31" s="38">
        <v>40</v>
      </c>
      <c r="F31" s="39" t="s">
        <v>20</v>
      </c>
      <c r="G31" s="40">
        <v>12</v>
      </c>
      <c r="H31" s="40">
        <v>20</v>
      </c>
      <c r="I31" s="40">
        <f t="shared" si="1"/>
        <v>8</v>
      </c>
      <c r="J31" s="41">
        <f t="shared" si="2"/>
        <v>160</v>
      </c>
      <c r="K31" s="40">
        <f t="shared" si="3"/>
        <v>320</v>
      </c>
      <c r="L31" s="40">
        <f t="shared" si="4"/>
        <v>800</v>
      </c>
      <c r="M31" s="35"/>
    </row>
    <row r="32" ht="15.75" spans="1:13">
      <c r="A32" s="27"/>
      <c r="B32" s="36">
        <v>43035</v>
      </c>
      <c r="C32" s="37" t="str">
        <f t="shared" si="0"/>
        <v>Friday</v>
      </c>
      <c r="D32" s="38" t="s">
        <v>16</v>
      </c>
      <c r="E32" s="38">
        <v>50</v>
      </c>
      <c r="F32" s="39" t="s">
        <v>21</v>
      </c>
      <c r="G32" s="40">
        <v>5</v>
      </c>
      <c r="H32" s="40">
        <v>10</v>
      </c>
      <c r="I32" s="40">
        <f t="shared" si="1"/>
        <v>5</v>
      </c>
      <c r="J32" s="41">
        <f t="shared" si="2"/>
        <v>50</v>
      </c>
      <c r="K32" s="40">
        <f t="shared" si="3"/>
        <v>250</v>
      </c>
      <c r="L32" s="40">
        <f t="shared" si="4"/>
        <v>500</v>
      </c>
      <c r="M32" s="35"/>
    </row>
    <row r="33" ht="15.75" spans="1:13">
      <c r="A33" s="27"/>
      <c r="B33" s="36">
        <v>43036</v>
      </c>
      <c r="C33" s="37" t="str">
        <f t="shared" si="0"/>
        <v>Saturday</v>
      </c>
      <c r="D33" s="38" t="s">
        <v>16</v>
      </c>
      <c r="E33" s="38">
        <v>50</v>
      </c>
      <c r="F33" s="39" t="s">
        <v>17</v>
      </c>
      <c r="G33" s="40">
        <v>5</v>
      </c>
      <c r="H33" s="40">
        <v>10</v>
      </c>
      <c r="I33" s="40">
        <f t="shared" si="1"/>
        <v>5</v>
      </c>
      <c r="J33" s="41">
        <f t="shared" si="2"/>
        <v>50</v>
      </c>
      <c r="K33" s="40">
        <f t="shared" si="3"/>
        <v>250</v>
      </c>
      <c r="L33" s="40">
        <f t="shared" si="4"/>
        <v>500</v>
      </c>
      <c r="M33" s="35"/>
    </row>
    <row r="34" ht="15.75" spans="1:13">
      <c r="A34" s="27"/>
      <c r="B34" s="36">
        <v>43038</v>
      </c>
      <c r="C34" s="37" t="str">
        <f t="shared" si="0"/>
        <v>Monday</v>
      </c>
      <c r="D34" s="38" t="s">
        <v>12</v>
      </c>
      <c r="E34" s="38">
        <v>50</v>
      </c>
      <c r="F34" s="39" t="s">
        <v>21</v>
      </c>
      <c r="G34" s="40">
        <v>10</v>
      </c>
      <c r="H34" s="40">
        <v>15</v>
      </c>
      <c r="I34" s="40">
        <f t="shared" si="1"/>
        <v>5</v>
      </c>
      <c r="J34" s="41">
        <f t="shared" si="2"/>
        <v>75</v>
      </c>
      <c r="K34" s="40">
        <f t="shared" si="3"/>
        <v>250</v>
      </c>
      <c r="L34" s="40">
        <f t="shared" si="4"/>
        <v>750</v>
      </c>
      <c r="M34" s="35"/>
    </row>
    <row r="35" ht="15.75" spans="1:13">
      <c r="A35" s="27"/>
      <c r="B35" s="36">
        <v>43038</v>
      </c>
      <c r="C35" s="37" t="str">
        <f t="shared" si="0"/>
        <v>Monday</v>
      </c>
      <c r="D35" s="38" t="s">
        <v>19</v>
      </c>
      <c r="E35" s="38">
        <v>20</v>
      </c>
      <c r="F35" s="39" t="s">
        <v>13</v>
      </c>
      <c r="G35" s="40">
        <v>20</v>
      </c>
      <c r="H35" s="40">
        <v>30</v>
      </c>
      <c r="I35" s="40">
        <f t="shared" si="1"/>
        <v>10</v>
      </c>
      <c r="J35" s="41">
        <f t="shared" si="2"/>
        <v>300</v>
      </c>
      <c r="K35" s="40">
        <f t="shared" si="3"/>
        <v>200</v>
      </c>
      <c r="L35" s="40">
        <f t="shared" si="4"/>
        <v>600</v>
      </c>
      <c r="M35" s="35"/>
    </row>
    <row r="36" spans="1:13">
      <c r="A36" s="27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mergeCells count="1">
    <mergeCell ref="B6:L6"/>
  </mergeCells>
  <dataValidations count="1">
    <dataValidation type="list" allowBlank="1" showInputMessage="1" showErrorMessage="1" sqref="C7:C34 E7:E34">
      <formula1/>
    </dataValidation>
  </dataValidations>
  <pageMargins left="0.7" right="0.7" top="0.75" bottom="0.75" header="0.3" footer="0.3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tabSelected="1" topLeftCell="B27" workbookViewId="0">
      <selection activeCell="L71" sqref="L71"/>
    </sheetView>
  </sheetViews>
  <sheetFormatPr defaultColWidth="9.18095238095238" defaultRowHeight="15"/>
  <cols>
    <col min="1" max="1" width="3.18095238095238" style="2" customWidth="1"/>
    <col min="2" max="8" width="15.7238095238095" style="2" customWidth="1"/>
    <col min="9" max="9" width="3.18095238095238" style="2" customWidth="1"/>
    <col min="10" max="13" width="15.7238095238095" style="2" customWidth="1"/>
    <col min="14" max="16384" width="9.18095238095238" style="2"/>
  </cols>
  <sheetData>
    <row r="1" ht="15.75" spans="1:11">
      <c r="A1" s="1"/>
      <c r="B1" s="1"/>
      <c r="C1" s="1"/>
      <c r="D1" s="1"/>
      <c r="E1" s="1"/>
      <c r="F1" s="1"/>
      <c r="G1" s="1"/>
      <c r="H1" s="1"/>
      <c r="I1" s="1"/>
    </row>
    <row r="2" ht="50.25" customHeight="1" spans="1:11">
      <c r="A2" s="1"/>
      <c r="B2" s="3"/>
      <c r="C2" s="3"/>
      <c r="D2" s="3"/>
      <c r="E2" s="3"/>
      <c r="F2" s="3"/>
      <c r="G2" s="3"/>
      <c r="H2" s="4"/>
      <c r="I2" s="1"/>
    </row>
    <row r="3" ht="32.25" customHeight="1" spans="1:11">
      <c r="A3" s="1"/>
      <c r="B3" s="5" t="s">
        <v>22</v>
      </c>
      <c r="C3" s="5"/>
      <c r="D3" s="5"/>
      <c r="E3" s="5"/>
      <c r="F3" s="5"/>
      <c r="G3" s="5"/>
      <c r="H3" s="4"/>
      <c r="I3" s="1"/>
      <c r="K3" s="6" t="s">
        <v>23</v>
      </c>
    </row>
    <row r="4" ht="32.25" customHeight="1" spans="1:11">
      <c r="A4" s="1"/>
      <c r="B4" s="7" t="s">
        <v>24</v>
      </c>
      <c r="C4" s="8"/>
      <c r="D4" s="8"/>
      <c r="E4" s="8"/>
      <c r="F4" s="8"/>
      <c r="G4" s="8"/>
      <c r="H4" s="9"/>
      <c r="I4" s="1"/>
    </row>
    <row r="5" ht="26.25" spans="1:11">
      <c r="A5" s="1"/>
      <c r="B5" s="10" t="s">
        <v>25</v>
      </c>
      <c r="C5" s="11"/>
      <c r="D5" s="11"/>
      <c r="E5" s="11"/>
      <c r="F5" s="11"/>
      <c r="G5" s="11"/>
      <c r="H5" s="12"/>
      <c r="I5" s="1"/>
    </row>
    <row r="6" ht="20.25" spans="1:11">
      <c r="A6" s="1"/>
      <c r="B6" s="13" t="s">
        <v>3</v>
      </c>
      <c r="C6" s="13" t="s">
        <v>14</v>
      </c>
      <c r="D6" s="13" t="s">
        <v>13</v>
      </c>
      <c r="E6" s="13" t="s">
        <v>17</v>
      </c>
      <c r="F6" s="13" t="s">
        <v>20</v>
      </c>
      <c r="G6" s="13" t="s">
        <v>21</v>
      </c>
      <c r="H6" s="14" t="s">
        <v>26</v>
      </c>
      <c r="I6" s="1"/>
    </row>
    <row r="7" ht="15.75" spans="1:11">
      <c r="A7" s="1"/>
      <c r="B7" s="15" t="str">
        <f>B15</f>
        <v>A</v>
      </c>
      <c r="C7" s="15">
        <f>SUMIFS('Sales report'!$E$8:E$35,'Sales report'!$D$8:$D$35,B7,'Sales report'!$F$8:$F$35,C6)</f>
        <v>10</v>
      </c>
      <c r="D7" s="15">
        <f>SUMIFS('Sales report'!$E$8:$E$35,'Sales report'!$D$8:$D$35,B7,'Sales report'!$F$8:$F$35,D6)</f>
        <v>25</v>
      </c>
      <c r="E7" s="15">
        <f>SUMIFS('Sales report'!$E$8:$E$35,'Sales report'!$D$8:$D$35,B7,'Sales report'!$F$8:$F$35,E6)</f>
        <v>40</v>
      </c>
      <c r="F7" s="15">
        <f>SUMIFS('Sales report'!$E$8:$E$35,'Sales report'!$D$8:$D$35,B7,'Sales report'!$F$8:$F$35,F6)</f>
        <v>0</v>
      </c>
      <c r="G7" s="15">
        <f>SUMIFS('Sales report'!$E$8:$E$35,'Sales report'!$D$8:$D$35,B7,'Sales report'!$F$8:$F$35,G6)</f>
        <v>50</v>
      </c>
      <c r="H7" s="16">
        <f t="shared" ref="H7:H12" si="0">SUM(C7:G7)</f>
        <v>125</v>
      </c>
      <c r="I7" s="1"/>
    </row>
    <row r="8" ht="15.75" spans="1:11">
      <c r="A8" s="1"/>
      <c r="B8" s="15" t="str">
        <f>B16</f>
        <v>B</v>
      </c>
      <c r="C8" s="15">
        <f>SUMIFS('Sales report'!$E$8:$E$35,'Sales report'!$D$8:$D$35,B8,'Sales report'!$F$8:$F$35,C6)</f>
        <v>20</v>
      </c>
      <c r="D8" s="15">
        <f>SUMIFS('Sales report'!$E$8:$E$35,'Sales report'!$D$8:$D$35,B8,'Sales report'!$F$8:$F$35,D6)</f>
        <v>60</v>
      </c>
      <c r="E8" s="15">
        <f>SUMIFS('Sales report'!$E$8:$E$35,'Sales report'!$D$8:$D$35,B8,'Sales report'!$F$8:$F$35,E6)</f>
        <v>115</v>
      </c>
      <c r="F8" s="15">
        <f>SUMIFS('Sales report'!$E$8:$E$35,'Sales report'!$D$8:$D$35,B8,'Sales report'!$F$8:$F$35,F6)</f>
        <v>50</v>
      </c>
      <c r="G8" s="15">
        <f>SUMIFS('Sales report'!$E$8:$E$35,'Sales report'!$D$8:$D$35,B8,'Sales report'!$F$8:$F$35,G6)</f>
        <v>50</v>
      </c>
      <c r="H8" s="16">
        <f t="shared" si="0"/>
        <v>295</v>
      </c>
      <c r="I8" s="1"/>
    </row>
    <row r="9" ht="15.75" spans="1:11">
      <c r="A9" s="1"/>
      <c r="B9" s="15" t="str">
        <f>B17</f>
        <v>C</v>
      </c>
      <c r="C9" s="15">
        <f>SUMIFS('Sales report'!$E$8:$E$35,'Sales report'!$D$8:$D$35,B9,'Sales report'!$F$8:$F$35,C6)</f>
        <v>80</v>
      </c>
      <c r="D9" s="15">
        <f>SUMIFS('Sales report'!$E$8:$E$35,'Sales report'!$D$8:$D$35,B9,'Sales report'!$F$8:$F$35,D6)</f>
        <v>40</v>
      </c>
      <c r="E9" s="15">
        <f>SUMIFS('Sales report'!$E$8:$E$35,'Sales report'!$D$8:$D$35,B9,'Sales report'!$F$8:$F$35,E6)</f>
        <v>0</v>
      </c>
      <c r="F9" s="15">
        <f>SUMIFS('Sales report'!$E$8:$E$35,'Sales report'!$D$8:$D$35,B9,'Sales report'!$F$8:$F$35,F6)</f>
        <v>40</v>
      </c>
      <c r="G9" s="15">
        <f>SUMIFS('Sales report'!$E$8:$E$35,'Sales report'!$D$8:$D$35,B9,'Sales report'!$F$8:$F$35,G6)</f>
        <v>100</v>
      </c>
      <c r="H9" s="16">
        <f t="shared" si="0"/>
        <v>260</v>
      </c>
      <c r="I9" s="1"/>
    </row>
    <row r="10" ht="15.75" spans="1:11">
      <c r="A10" s="1"/>
      <c r="B10" s="15" t="str">
        <f>B18</f>
        <v>D</v>
      </c>
      <c r="C10" s="15">
        <f>SUMIFS('Sales report'!$E$8:$E$35,'Sales report'!$D$8:$D$35,B10,'Sales report'!$F$8:$F$35,C6)</f>
        <v>45</v>
      </c>
      <c r="D10" s="15">
        <f>SUMIFS('Sales report'!$E$8:$E$35,'Sales report'!$D$8:$D$35,B10,'Sales report'!$F$8:$F$35,D6)</f>
        <v>20</v>
      </c>
      <c r="E10" s="15">
        <f>SUMIFS('Sales report'!$E$8:$E$35,'Sales report'!$D$8:$D$35,B10,'Sales report'!$F$8:$F$35,E6)</f>
        <v>25</v>
      </c>
      <c r="F10" s="15">
        <f>SUMIFS('Sales report'!$E$8:$E$35,'Sales report'!$D$8:$D$35,B10,'Sales report'!$F$8:$F$35,F6)</f>
        <v>70</v>
      </c>
      <c r="G10" s="15">
        <f>SUMIFS('Sales report'!$E$8:$E$35,'Sales report'!$D$8:$D$35,B10,'Sales report'!$F$8:$F$35,G6)</f>
        <v>25</v>
      </c>
      <c r="H10" s="16">
        <f t="shared" si="0"/>
        <v>185</v>
      </c>
      <c r="I10" s="1"/>
    </row>
    <row r="11" ht="15.75" spans="1:11">
      <c r="A11" s="1"/>
      <c r="B11" s="15" t="str">
        <f>B19</f>
        <v>E</v>
      </c>
      <c r="C11" s="15">
        <f>SUMIFS('Sales report'!$E$8:$E$35,'Sales report'!$D$8:$D$35,B11,'Sales report'!$F$8:$F$35,C6)</f>
        <v>0</v>
      </c>
      <c r="D11" s="15">
        <f>SUMIFS('Sales report'!$E$8:$E$35,'Sales report'!$D$8:$D$35,B11,'Sales report'!$F$8:$F$35,D6)</f>
        <v>60</v>
      </c>
      <c r="E11" s="15">
        <f>SUMIFS('Sales report'!$E$8:$E$35,'Sales report'!$D$8:$D$35,B11,'Sales report'!$F$8:$F$35,E6)</f>
        <v>0</v>
      </c>
      <c r="F11" s="15">
        <f>SUMIFS('Sales report'!$E$8:$E$35,'Sales report'!$D$8:$D$35,B11,'Sales report'!$F$8:$F$35,F6)</f>
        <v>200</v>
      </c>
      <c r="G11" s="15">
        <f>SUMIFS('Sales report'!$E$8:$E$35,'Sales report'!$D$8:$D$35,B11,'Sales report'!$F$8:$F$35,G6)</f>
        <v>0</v>
      </c>
      <c r="H11" s="16">
        <f t="shared" si="0"/>
        <v>260</v>
      </c>
      <c r="I11" s="1"/>
    </row>
    <row r="12" ht="19.5" spans="1:11">
      <c r="A12" s="1"/>
      <c r="B12" s="17" t="s">
        <v>27</v>
      </c>
      <c r="C12" s="17">
        <f t="shared" ref="C12:G12" si="1">SUM(C7:C11)</f>
        <v>155</v>
      </c>
      <c r="D12" s="17">
        <f t="shared" si="1"/>
        <v>205</v>
      </c>
      <c r="E12" s="17">
        <f t="shared" si="1"/>
        <v>180</v>
      </c>
      <c r="F12" s="17">
        <f t="shared" si="1"/>
        <v>360</v>
      </c>
      <c r="G12" s="17">
        <f t="shared" si="1"/>
        <v>225</v>
      </c>
      <c r="H12" s="16">
        <f t="shared" si="0"/>
        <v>1125</v>
      </c>
      <c r="I12" s="1"/>
    </row>
    <row r="13" ht="26.25" spans="1:11">
      <c r="A13" s="1"/>
      <c r="B13" s="18" t="s">
        <v>28</v>
      </c>
      <c r="C13" s="18"/>
      <c r="D13" s="18"/>
      <c r="E13" s="18"/>
      <c r="F13" s="18"/>
      <c r="G13" s="18"/>
      <c r="H13" s="18"/>
      <c r="I13" s="1"/>
    </row>
    <row r="14" ht="20.25" spans="1:11">
      <c r="A14" s="1"/>
      <c r="B14" s="13" t="s">
        <v>3</v>
      </c>
      <c r="C14" s="13" t="s">
        <v>14</v>
      </c>
      <c r="D14" s="13" t="s">
        <v>13</v>
      </c>
      <c r="E14" s="13" t="s">
        <v>29</v>
      </c>
      <c r="F14" s="13" t="s">
        <v>20</v>
      </c>
      <c r="G14" s="13" t="s">
        <v>21</v>
      </c>
      <c r="H14" s="14" t="s">
        <v>8</v>
      </c>
      <c r="I14" s="1"/>
    </row>
    <row r="15" ht="15.75" spans="1:11">
      <c r="A15" s="1"/>
      <c r="B15" s="15" t="s">
        <v>12</v>
      </c>
      <c r="C15" s="15">
        <f>SUMIFS('Sales report'!$K$8:$K$35,'Sales report'!$D$8:$D$35,B15,'Sales report'!$F$8:$F$35,C14)</f>
        <v>50</v>
      </c>
      <c r="D15" s="15">
        <f>SUMIFS('Sales report'!$K$8:$K$35,'Sales report'!$D$8:$D$35,B15,'Sales report'!$F$8:$F$35,D6)</f>
        <v>125</v>
      </c>
      <c r="E15" s="15">
        <f>SUMIFS('Sales report'!$K$8:$K$35,'Sales report'!$D$8:$D$35,B15,'Sales report'!$F$8:$F$35,E6)</f>
        <v>200</v>
      </c>
      <c r="F15" s="15">
        <f>SUMIFS('Sales report'!$K$8:$K$35,'Sales report'!$D$8:$D$35,B15,'Sales report'!$F$8:$F$35,F6)</f>
        <v>0</v>
      </c>
      <c r="G15" s="15">
        <f>SUMIFS('Sales report'!$K$8:$K$35,'Sales report'!$D$8:$D$35,B15,'Sales report'!$F$8:$F$35,G6)</f>
        <v>250</v>
      </c>
      <c r="H15" s="16">
        <f>SUM(C15:G15)</f>
        <v>625</v>
      </c>
      <c r="I15" s="1"/>
    </row>
    <row r="16" ht="15.75" spans="1:11">
      <c r="A16" s="1"/>
      <c r="B16" s="15" t="s">
        <v>16</v>
      </c>
      <c r="C16" s="15">
        <f>SUMIFS('Sales report'!$K$8:$K$35,'Sales report'!$D$8:$D$35,B16,'Sales report'!$F$8:$F$35,C14)</f>
        <v>100</v>
      </c>
      <c r="D16" s="15">
        <f>SUMIFS('Sales report'!$K$8:$K$35,'Sales report'!$D$8:$D$35,B16,'Sales report'!$F$8:$F$35,D6)</f>
        <v>300</v>
      </c>
      <c r="E16" s="15">
        <f>SUMIFS('Sales report'!$K$8:$K$35,'Sales report'!$D$8:$D$35,B16,'Sales report'!$F$8:$F$35,E6)</f>
        <v>575</v>
      </c>
      <c r="F16" s="15">
        <f>SUMIFS('Sales report'!$K$8:$K$35,'Sales report'!$D$8:$D$35,B16,'Sales report'!$F$8:$F$35,F6)</f>
        <v>250</v>
      </c>
      <c r="G16" s="15">
        <f>SUMIFS('Sales report'!$K$8:$K$35,'Sales report'!$D$8:$D$35,B16,'Sales report'!$F$8:$F$35,G6)</f>
        <v>250</v>
      </c>
      <c r="H16" s="16">
        <f>SUM(C16:G16)</f>
        <v>1475</v>
      </c>
      <c r="I16" s="1"/>
    </row>
    <row r="17" ht="15.75" spans="1:9">
      <c r="A17" s="1"/>
      <c r="B17" s="15" t="s">
        <v>18</v>
      </c>
      <c r="C17" s="15">
        <f>SUMIFS('Sales report'!$K$8:$K$35,'Sales report'!$D$8:$D$35,B17,'Sales report'!$F$8:$F$35,C14)</f>
        <v>640</v>
      </c>
      <c r="D17" s="15">
        <f>SUMIFS('Sales report'!$K$8:$K$35,'Sales report'!$D$8:$D$35,B17,'Sales report'!$F$8:$F$35,D6)</f>
        <v>320</v>
      </c>
      <c r="E17" s="15">
        <f>SUMIFS('Sales report'!$K$8:$K$35,'Sales report'!$D$8:$D$35,B17,'Sales report'!$F$8:$F$35,E6)</f>
        <v>0</v>
      </c>
      <c r="F17" s="15">
        <f>SUMIFS('Sales report'!$K$8:$K$35,'Sales report'!$D$8:$D$35,B17,'Sales report'!$F$8:$F$35,F6)</f>
        <v>320</v>
      </c>
      <c r="G17" s="15">
        <f>SUMIFS('Sales report'!$K$8:$K$35,'Sales report'!$D$8:$D$35,B17,'Sales report'!$F$8:$F$35,G6)</f>
        <v>800</v>
      </c>
      <c r="H17" s="16">
        <f>SUM(C17:G17)</f>
        <v>2080</v>
      </c>
      <c r="I17" s="1"/>
    </row>
    <row r="18" ht="15.75" spans="1:9">
      <c r="A18" s="1"/>
      <c r="B18" s="15" t="s">
        <v>19</v>
      </c>
      <c r="C18" s="15">
        <f>SUMIFS('Sales report'!$K$8:$K$35,'Sales report'!$D$8:$D$35,B18,'Sales report'!$F$8:$F$35,C14)</f>
        <v>450</v>
      </c>
      <c r="D18" s="15">
        <f>SUMIFS('Sales report'!$K$8:$K$35,'Sales report'!$D$8:$D$35,B18,'Sales report'!$F$8:$F$35,D6)</f>
        <v>200</v>
      </c>
      <c r="E18" s="15">
        <f>SUMIFS('Sales report'!$K$8:$K$35,'Sales report'!$D$8:$D$35,B18,'Sales report'!$F$8:$F$35,E6)</f>
        <v>250</v>
      </c>
      <c r="F18" s="15">
        <f>SUMIFS('Sales report'!$K$8:$K$35,'Sales report'!$D$8:$D$35,B18,'Sales report'!$F$8:$F$35,F6)</f>
        <v>700</v>
      </c>
      <c r="G18" s="15">
        <f>SUMIFS('Sales report'!$K$8:$K$35,'Sales report'!$D$8:$D$35,B18,'Sales report'!$F$8:$F$35,G6)</f>
        <v>250</v>
      </c>
      <c r="H18" s="16">
        <f>SUM(C18:G18)</f>
        <v>1850</v>
      </c>
      <c r="I18" s="1"/>
    </row>
    <row r="19" ht="15.75" spans="1:9">
      <c r="A19" s="1"/>
      <c r="B19" s="15" t="s">
        <v>15</v>
      </c>
      <c r="C19" s="15">
        <f>SUMIFS('Sales report'!$K$8:$K$35,'Sales report'!$D$8:$D$35,B19,'Sales report'!$F$8:$F$35,C14)</f>
        <v>0</v>
      </c>
      <c r="D19" s="15">
        <f>SUMIFS('Sales report'!$K$8:$K$35,'Sales report'!$D$8:$D$35,B19,'Sales report'!$F$8:$F$35,D6)</f>
        <v>120</v>
      </c>
      <c r="E19" s="15">
        <f>SUMIFS('Sales report'!$K$8:$K$35,'Sales report'!$D$8:$D$35,B19,'Sales report'!$F$8:$F$35,E6)</f>
        <v>0</v>
      </c>
      <c r="F19" s="15">
        <f>SUMIFS('Sales report'!$K$8:$K$35,'Sales report'!$D$8:$D$35,B19,'Sales report'!$F$8:$F$35,F6)</f>
        <v>400</v>
      </c>
      <c r="G19" s="15">
        <f>SUMIFS('Sales report'!$K$8:$K$35,'Sales report'!$D$8:$D$35,B19,'Sales report'!$F$8:$F$35,G6)</f>
        <v>0</v>
      </c>
      <c r="H19" s="16">
        <f>SUM(C19:G19)</f>
        <v>520</v>
      </c>
      <c r="I19" s="1"/>
    </row>
    <row r="20" ht="15.75" spans="1:9">
      <c r="A20" s="19"/>
      <c r="B20" s="20"/>
      <c r="C20" s="21"/>
      <c r="D20" s="21"/>
      <c r="E20" s="21"/>
      <c r="F20" s="21"/>
      <c r="G20" s="21"/>
      <c r="H20" s="22"/>
      <c r="I20" s="1"/>
    </row>
    <row r="21" spans="1:9">
      <c r="A21" s="19"/>
      <c r="B21" s="23"/>
      <c r="C21" s="24"/>
      <c r="D21" s="24"/>
      <c r="E21" s="24"/>
      <c r="F21" s="24"/>
      <c r="G21" s="24"/>
      <c r="H21" s="25"/>
      <c r="I21" s="1"/>
    </row>
    <row r="22" spans="1:9">
      <c r="A22" s="19"/>
      <c r="B22" s="26"/>
      <c r="C22" s="27"/>
      <c r="D22" s="27"/>
      <c r="E22" s="27"/>
      <c r="F22" s="27"/>
      <c r="G22" s="27"/>
      <c r="H22" s="28"/>
      <c r="I22" s="1"/>
    </row>
    <row r="23" spans="1:9">
      <c r="A23" s="19"/>
      <c r="B23" s="26"/>
      <c r="C23" s="27"/>
      <c r="D23" s="27"/>
      <c r="E23" s="27"/>
      <c r="F23" s="27"/>
      <c r="G23" s="27"/>
      <c r="H23" s="28"/>
      <c r="I23" s="1"/>
    </row>
    <row r="24" spans="1:9">
      <c r="A24" s="19"/>
      <c r="B24" s="26"/>
      <c r="C24" s="27"/>
      <c r="D24" s="27"/>
      <c r="E24" s="27"/>
      <c r="F24" s="27"/>
      <c r="G24" s="27"/>
      <c r="H24" s="28"/>
      <c r="I24" s="1"/>
    </row>
    <row r="25" spans="1:9">
      <c r="A25" s="19"/>
      <c r="B25" s="26"/>
      <c r="C25" s="27"/>
      <c r="D25" s="27"/>
      <c r="E25" s="27"/>
      <c r="F25" s="27"/>
      <c r="G25" s="27"/>
      <c r="H25" s="28"/>
      <c r="I25" s="1"/>
    </row>
    <row r="26" spans="1:9">
      <c r="A26" s="19"/>
      <c r="B26" s="26"/>
      <c r="C26" s="27"/>
      <c r="D26" s="27"/>
      <c r="E26" s="27"/>
      <c r="F26" s="27"/>
      <c r="G26" s="27"/>
      <c r="H26" s="28"/>
      <c r="I26" s="1"/>
    </row>
    <row r="27" spans="1:9">
      <c r="A27" s="19"/>
      <c r="B27" s="26"/>
      <c r="C27" s="27"/>
      <c r="D27" s="27"/>
      <c r="E27" s="27"/>
      <c r="F27" s="27"/>
      <c r="G27" s="27"/>
      <c r="H27" s="28"/>
      <c r="I27" s="1"/>
    </row>
    <row r="28" spans="1:9">
      <c r="A28" s="19"/>
      <c r="B28" s="26"/>
      <c r="C28" s="27"/>
      <c r="D28" s="27"/>
      <c r="E28" s="27"/>
      <c r="F28" s="27"/>
      <c r="G28" s="27"/>
      <c r="H28" s="28"/>
      <c r="I28" s="1"/>
    </row>
    <row r="29" spans="1:9">
      <c r="A29" s="19"/>
      <c r="B29" s="26"/>
      <c r="C29" s="27"/>
      <c r="D29" s="27"/>
      <c r="E29" s="27"/>
      <c r="F29" s="27"/>
      <c r="G29" s="27"/>
      <c r="H29" s="28"/>
      <c r="I29" s="1"/>
    </row>
    <row r="30" spans="1:9">
      <c r="A30" s="19"/>
      <c r="B30" s="26"/>
      <c r="C30" s="27"/>
      <c r="D30" s="27"/>
      <c r="E30" s="27"/>
      <c r="F30" s="27"/>
      <c r="G30" s="27"/>
      <c r="H30" s="28"/>
      <c r="I30" s="1"/>
    </row>
    <row r="31" spans="1:9">
      <c r="A31" s="19"/>
      <c r="B31" s="26"/>
      <c r="C31" s="27"/>
      <c r="D31" s="27"/>
      <c r="E31" s="27"/>
      <c r="F31" s="27"/>
      <c r="G31" s="27"/>
      <c r="H31" s="28"/>
      <c r="I31" s="1"/>
    </row>
    <row r="32" spans="1:9">
      <c r="A32" s="19"/>
      <c r="B32" s="26"/>
      <c r="C32" s="27"/>
      <c r="D32" s="27"/>
      <c r="E32" s="27"/>
      <c r="F32" s="27"/>
      <c r="G32" s="27"/>
      <c r="H32" s="28"/>
      <c r="I32" s="1"/>
    </row>
    <row r="33" spans="1:30">
      <c r="A33" s="19"/>
      <c r="B33" s="26"/>
      <c r="C33" s="27"/>
      <c r="D33" s="27"/>
      <c r="E33" s="27"/>
      <c r="F33" s="27"/>
      <c r="G33" s="27"/>
      <c r="H33" s="28"/>
      <c r="I33" s="1"/>
    </row>
    <row r="34" ht="15.75" spans="1:30">
      <c r="A34" s="19"/>
      <c r="B34" s="29"/>
      <c r="C34" s="30"/>
      <c r="D34" s="30"/>
      <c r="E34" s="30"/>
      <c r="F34" s="30"/>
      <c r="G34" s="30"/>
      <c r="H34" s="31"/>
      <c r="I34" s="1"/>
    </row>
    <row r="35" spans="1:30">
      <c r="A35" s="19"/>
      <c r="B35" s="27"/>
      <c r="C35" s="27"/>
      <c r="D35" s="27"/>
      <c r="E35" s="27"/>
      <c r="F35" s="27"/>
      <c r="G35" s="27"/>
      <c r="H35" s="27"/>
      <c r="I35" s="1"/>
    </row>
    <row r="36" spans="1:30">
      <c r="A36" s="19"/>
      <c r="B36" s="27"/>
      <c r="C36" s="27"/>
      <c r="D36" s="27"/>
      <c r="E36" s="27"/>
      <c r="F36" s="27"/>
      <c r="G36" s="27"/>
      <c r="H36" s="27"/>
      <c r="I36" s="1"/>
    </row>
    <row r="37" spans="1:30">
      <c r="A37" s="19"/>
      <c r="B37" s="27"/>
      <c r="C37" s="27"/>
      <c r="D37" s="27"/>
      <c r="E37" s="27"/>
      <c r="F37" s="27"/>
      <c r="G37" s="27"/>
      <c r="H37" s="27"/>
      <c r="I37" s="1"/>
    </row>
    <row r="38" spans="1:30">
      <c r="A38" s="19"/>
      <c r="B38" s="27"/>
      <c r="C38" s="27"/>
      <c r="D38" s="27"/>
      <c r="E38" s="27"/>
      <c r="F38" s="27"/>
      <c r="G38" s="27"/>
      <c r="H38" s="27"/>
      <c r="I38" s="1"/>
    </row>
    <row r="39" spans="1:30">
      <c r="A39" s="19"/>
      <c r="B39" s="27"/>
      <c r="C39" s="27"/>
      <c r="D39" s="27"/>
      <c r="E39" s="27"/>
      <c r="F39" s="27"/>
      <c r="G39" s="27"/>
      <c r="H39" s="27"/>
      <c r="I39" s="1"/>
    </row>
    <row r="40" spans="1:30">
      <c r="A40" s="19"/>
      <c r="B40" s="27"/>
      <c r="C40" s="27"/>
      <c r="D40" s="27"/>
      <c r="E40" s="27"/>
      <c r="F40" s="27"/>
      <c r="G40" s="27"/>
      <c r="H40" s="27"/>
      <c r="I40" s="1"/>
    </row>
    <row r="41" spans="1:30">
      <c r="A41" s="19"/>
      <c r="B41" s="27"/>
      <c r="C41" s="27"/>
      <c r="D41" s="27"/>
      <c r="E41" s="27"/>
      <c r="F41" s="27"/>
      <c r="G41" s="27"/>
      <c r="H41" s="27"/>
      <c r="I41" s="1"/>
    </row>
    <row r="42" spans="1:30">
      <c r="A42" s="19"/>
      <c r="B42" s="27"/>
      <c r="C42" s="27"/>
      <c r="D42" s="27"/>
      <c r="E42" s="27"/>
      <c r="F42" s="27"/>
      <c r="G42" s="27"/>
      <c r="H42" s="27"/>
      <c r="I42" s="1"/>
    </row>
    <row r="43" spans="1:30">
      <c r="A43" s="19"/>
      <c r="B43" s="27"/>
      <c r="C43" s="27"/>
      <c r="D43" s="27"/>
      <c r="E43" s="27"/>
      <c r="F43" s="27"/>
      <c r="G43" s="27"/>
      <c r="H43" s="27"/>
      <c r="I43" s="1"/>
    </row>
    <row r="44" s="1" customFormat="1" spans="1:30">
      <c r="A44" s="19"/>
      <c r="B44" s="27"/>
      <c r="C44" s="27"/>
      <c r="D44" s="27"/>
      <c r="E44" s="27"/>
      <c r="F44" s="27"/>
      <c r="G44" s="27"/>
      <c r="H44" s="27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>
      <c r="A45" s="19"/>
      <c r="B45" s="27"/>
      <c r="C45" s="27"/>
      <c r="D45" s="27"/>
      <c r="E45" s="27"/>
      <c r="F45" s="27"/>
      <c r="G45" s="27"/>
      <c r="H45" s="27"/>
      <c r="I45" s="1"/>
    </row>
    <row r="46" spans="1:30">
      <c r="A46" s="19"/>
      <c r="B46" s="27"/>
      <c r="C46" s="27"/>
      <c r="D46" s="27"/>
      <c r="E46" s="27"/>
      <c r="F46" s="27"/>
      <c r="G46" s="27"/>
      <c r="H46" s="27"/>
      <c r="I46" s="1"/>
    </row>
    <row r="47" spans="1:30">
      <c r="A47" s="19"/>
      <c r="B47" s="27"/>
      <c r="C47" s="27"/>
      <c r="D47" s="27"/>
      <c r="E47" s="27"/>
      <c r="F47" s="27"/>
      <c r="G47" s="27"/>
      <c r="H47" s="27"/>
      <c r="I47" s="1"/>
    </row>
    <row r="48" spans="1:30">
      <c r="A48" s="19"/>
      <c r="B48" s="27"/>
      <c r="C48" s="27"/>
      <c r="D48" s="27"/>
      <c r="E48" s="27"/>
      <c r="F48" s="27"/>
      <c r="G48" s="27"/>
      <c r="H48" s="27"/>
      <c r="I48" s="1"/>
    </row>
    <row r="49" spans="1:9">
      <c r="A49" s="19"/>
      <c r="B49" s="27"/>
      <c r="C49" s="27"/>
      <c r="D49" s="27"/>
      <c r="E49" s="27"/>
      <c r="F49" s="27"/>
      <c r="G49" s="27"/>
      <c r="H49" s="27"/>
      <c r="I49" s="1"/>
    </row>
    <row r="50" spans="1:9">
      <c r="A50" s="19"/>
      <c r="B50" s="27"/>
      <c r="C50" s="27"/>
      <c r="D50" s="27"/>
      <c r="E50" s="27"/>
      <c r="F50" s="27"/>
      <c r="G50" s="27"/>
      <c r="H50" s="27"/>
      <c r="I50" s="1"/>
    </row>
    <row r="51" spans="1:9">
      <c r="A51" s="19"/>
      <c r="B51" s="27"/>
      <c r="C51" s="27"/>
      <c r="D51" s="27"/>
      <c r="E51" s="27"/>
      <c r="F51" s="27"/>
      <c r="G51" s="27"/>
      <c r="H51" s="27"/>
      <c r="I51" s="1"/>
    </row>
    <row r="52" spans="1:9">
      <c r="A52" s="19"/>
      <c r="B52" s="27"/>
      <c r="C52" s="27"/>
      <c r="D52" s="27"/>
      <c r="E52" s="27"/>
      <c r="F52" s="27"/>
      <c r="G52" s="27"/>
      <c r="H52" s="27"/>
      <c r="I52" s="1"/>
    </row>
    <row r="53" ht="9.75" customHeight="1" spans="1:9">
      <c r="A53" s="19"/>
      <c r="B53" s="27"/>
      <c r="C53" s="27"/>
      <c r="D53" s="27"/>
      <c r="E53" s="27"/>
      <c r="F53" s="27"/>
      <c r="G53" s="27"/>
      <c r="H53" s="27"/>
      <c r="I53" s="1"/>
    </row>
    <row r="54" spans="1:9">
      <c r="A54" s="19"/>
      <c r="B54" s="27"/>
      <c r="C54" s="27"/>
      <c r="D54" s="27"/>
      <c r="E54" s="27"/>
      <c r="F54" s="27"/>
      <c r="G54" s="27"/>
      <c r="H54" s="27"/>
      <c r="I54" s="1"/>
    </row>
    <row r="55" spans="1:9">
      <c r="A55" s="19"/>
      <c r="B55" s="27"/>
      <c r="C55" s="27"/>
      <c r="D55" s="27"/>
      <c r="E55" s="27"/>
      <c r="F55" s="27"/>
      <c r="G55" s="27"/>
      <c r="H55" s="27"/>
      <c r="I55" s="1"/>
    </row>
    <row r="56" spans="1:9">
      <c r="A56" s="19"/>
      <c r="B56" s="27"/>
      <c r="C56" s="27"/>
      <c r="D56" s="27"/>
      <c r="E56" s="27"/>
      <c r="F56" s="27"/>
      <c r="G56" s="27"/>
      <c r="H56" s="27"/>
      <c r="I56" s="1"/>
    </row>
    <row r="57" spans="1:9">
      <c r="A57" s="19"/>
      <c r="B57" s="27"/>
      <c r="C57" s="27"/>
      <c r="D57" s="27"/>
      <c r="E57" s="27"/>
      <c r="F57" s="27"/>
      <c r="G57" s="27"/>
      <c r="H57" s="27"/>
      <c r="I57" s="1"/>
    </row>
    <row r="58" spans="1:9">
      <c r="A58" s="19"/>
      <c r="B58" s="27"/>
      <c r="C58" s="27"/>
      <c r="D58" s="27"/>
      <c r="E58" s="27"/>
      <c r="F58" s="27"/>
      <c r="G58" s="27"/>
      <c r="H58" s="27"/>
      <c r="I58" s="1"/>
    </row>
    <row r="59" spans="1:9">
      <c r="A59" s="19"/>
      <c r="B59" s="27"/>
      <c r="C59" s="27"/>
      <c r="D59" s="27"/>
      <c r="E59" s="27"/>
      <c r="F59" s="27"/>
      <c r="G59" s="27"/>
      <c r="H59" s="27"/>
      <c r="I59" s="1"/>
    </row>
    <row r="60" spans="1:9">
      <c r="A60" s="19"/>
      <c r="B60" s="27"/>
      <c r="C60" s="27"/>
      <c r="D60" s="27"/>
      <c r="E60" s="27"/>
      <c r="F60" s="27"/>
      <c r="G60" s="27"/>
      <c r="H60" s="27"/>
      <c r="I60" s="1"/>
    </row>
    <row r="61" spans="1:9">
      <c r="A61" s="19"/>
      <c r="B61" s="27"/>
      <c r="C61" s="27"/>
      <c r="D61" s="27"/>
      <c r="E61" s="27"/>
      <c r="F61" s="27"/>
      <c r="G61" s="27"/>
      <c r="H61" s="27"/>
      <c r="I61" s="1"/>
    </row>
    <row r="62" spans="1:9">
      <c r="A62" s="19"/>
      <c r="B62" s="27"/>
      <c r="C62" s="27"/>
      <c r="D62" s="27"/>
      <c r="E62" s="27"/>
      <c r="F62" s="27"/>
      <c r="G62" s="27"/>
      <c r="H62" s="27"/>
      <c r="I62" s="1"/>
    </row>
    <row r="63" spans="1:9">
      <c r="A63" s="19"/>
      <c r="B63" s="27"/>
      <c r="C63" s="27"/>
      <c r="D63" s="27"/>
      <c r="E63" s="27"/>
      <c r="F63" s="27"/>
      <c r="G63" s="27"/>
      <c r="H63" s="27"/>
      <c r="I63" s="1"/>
    </row>
    <row r="64" spans="1:9">
      <c r="A64" s="19"/>
      <c r="B64" s="27"/>
      <c r="C64" s="27"/>
      <c r="D64" s="27"/>
      <c r="E64" s="27"/>
      <c r="F64" s="27"/>
      <c r="G64" s="27"/>
      <c r="H64" s="27"/>
      <c r="I64" s="1"/>
    </row>
    <row r="65" spans="1:45">
      <c r="A65" s="19"/>
      <c r="B65" s="27"/>
      <c r="C65" s="27"/>
      <c r="D65" s="27"/>
      <c r="E65" s="27"/>
      <c r="F65" s="27"/>
      <c r="G65" s="27"/>
      <c r="H65" s="27"/>
      <c r="I65" s="1"/>
    </row>
    <row r="66" ht="15.75" customHeight="1" spans="1:45">
      <c r="A66" s="19"/>
      <c r="B66" s="27"/>
      <c r="C66" s="27"/>
      <c r="D66" s="27"/>
      <c r="E66" s="27"/>
      <c r="F66" s="27"/>
      <c r="G66" s="27"/>
      <c r="H66" s="27"/>
      <c r="I66" s="1"/>
    </row>
    <row r="67" ht="5.25" customHeight="1" spans="1:45">
      <c r="A67" s="19"/>
      <c r="B67" s="27"/>
      <c r="C67" s="27"/>
      <c r="D67" s="27"/>
      <c r="E67" s="27"/>
      <c r="F67" s="27"/>
      <c r="G67" s="27"/>
      <c r="H67" s="27"/>
      <c r="I67" s="1"/>
    </row>
    <row r="68" s="1" customFormat="1" spans="1:45">
      <c r="A68" s="19"/>
      <c r="B68" s="27"/>
      <c r="C68" s="27"/>
      <c r="D68" s="27"/>
      <c r="E68" s="27"/>
      <c r="F68" s="27"/>
      <c r="G68" s="27"/>
      <c r="H68" s="27"/>
      <c r="I68" s="19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>
      <c r="A69" s="19"/>
      <c r="B69" s="27"/>
      <c r="C69" s="27"/>
      <c r="D69" s="27"/>
      <c r="E69" s="27"/>
      <c r="F69" s="27"/>
      <c r="G69" s="27"/>
      <c r="H69" s="27"/>
      <c r="I69" s="19"/>
    </row>
    <row r="70" spans="1:45">
      <c r="A70" s="19"/>
      <c r="B70" s="27"/>
      <c r="C70" s="27"/>
      <c r="D70" s="27"/>
      <c r="E70" s="27"/>
      <c r="F70" s="27"/>
      <c r="G70" s="27"/>
      <c r="H70" s="27"/>
      <c r="I70" s="19"/>
    </row>
    <row r="71" spans="1:45">
      <c r="A71" s="19"/>
      <c r="B71" s="27"/>
      <c r="C71" s="27"/>
      <c r="D71" s="27"/>
      <c r="E71" s="27"/>
      <c r="F71" s="27"/>
      <c r="G71" s="27"/>
      <c r="H71" s="27"/>
      <c r="I71" s="19"/>
    </row>
    <row r="72" spans="1:45">
      <c r="A72" s="19"/>
      <c r="B72" s="27"/>
      <c r="C72" s="27"/>
      <c r="D72" s="27"/>
      <c r="E72" s="27"/>
      <c r="F72" s="27"/>
      <c r="G72" s="27"/>
      <c r="H72" s="27"/>
      <c r="I72" s="19"/>
    </row>
    <row r="73" spans="1:45">
      <c r="A73" s="19"/>
      <c r="B73" s="27"/>
      <c r="C73" s="27"/>
      <c r="D73" s="27"/>
      <c r="E73" s="27"/>
      <c r="F73" s="27"/>
      <c r="G73" s="27"/>
      <c r="H73" s="27"/>
      <c r="I73" s="19"/>
    </row>
    <row r="74" spans="1:45">
      <c r="A74" s="19"/>
      <c r="B74" s="27"/>
      <c r="C74" s="27"/>
      <c r="D74" s="27"/>
      <c r="E74" s="27"/>
      <c r="F74" s="27"/>
      <c r="G74" s="27"/>
      <c r="H74" s="27"/>
      <c r="I74" s="19"/>
    </row>
    <row r="75" spans="1:45">
      <c r="A75" s="19"/>
      <c r="B75" s="27"/>
      <c r="C75" s="27"/>
      <c r="D75" s="27"/>
      <c r="E75" s="27"/>
      <c r="F75" s="27"/>
      <c r="G75" s="27"/>
      <c r="H75" s="27"/>
      <c r="I75" s="19"/>
    </row>
    <row r="76" spans="1:45">
      <c r="A76" s="19"/>
      <c r="B76" s="27"/>
      <c r="C76" s="27"/>
      <c r="D76" s="27"/>
      <c r="E76" s="27"/>
      <c r="F76" s="27"/>
      <c r="G76" s="27"/>
      <c r="H76" s="27"/>
      <c r="I76" s="19"/>
    </row>
    <row r="77" ht="6" customHeight="1" spans="1:45">
      <c r="A77" s="19"/>
      <c r="B77" s="27"/>
      <c r="C77" s="27"/>
      <c r="D77" s="27"/>
      <c r="E77" s="27"/>
      <c r="F77" s="27"/>
      <c r="G77" s="27"/>
      <c r="H77" s="27"/>
      <c r="I77" s="19"/>
    </row>
    <row r="78" s="1" customFormat="1" spans="1:45">
      <c r="A78" s="19"/>
      <c r="B78" s="27"/>
      <c r="C78" s="27"/>
      <c r="D78" s="27"/>
      <c r="E78" s="27"/>
      <c r="F78" s="27"/>
      <c r="G78" s="27"/>
      <c r="H78" s="27"/>
      <c r="I78" s="19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>
      <c r="A79" s="19"/>
      <c r="B79" s="27"/>
      <c r="C79" s="27"/>
      <c r="D79" s="27"/>
      <c r="E79" s="27"/>
      <c r="F79" s="27"/>
      <c r="G79" s="27"/>
      <c r="H79" s="27"/>
      <c r="I79" s="19"/>
    </row>
    <row r="80" spans="1:45">
      <c r="A80" s="19"/>
      <c r="B80" s="27"/>
      <c r="C80" s="27"/>
      <c r="D80" s="27"/>
      <c r="E80" s="27"/>
      <c r="F80" s="27"/>
      <c r="G80" s="27"/>
      <c r="H80" s="27"/>
      <c r="I80" s="1"/>
    </row>
    <row r="81" spans="1:9">
      <c r="A81" s="19"/>
      <c r="B81" s="27"/>
      <c r="C81" s="27"/>
      <c r="D81" s="27"/>
      <c r="E81" s="27"/>
      <c r="F81" s="27"/>
      <c r="G81" s="27"/>
      <c r="H81" s="27"/>
      <c r="I81" s="1"/>
    </row>
    <row r="82" spans="1:9">
      <c r="A82" s="19"/>
      <c r="B82" s="27"/>
      <c r="C82" s="27"/>
      <c r="D82" s="27"/>
      <c r="E82" s="27"/>
      <c r="F82" s="27"/>
      <c r="G82" s="27"/>
      <c r="H82" s="27"/>
      <c r="I82" s="1"/>
    </row>
    <row r="83" spans="1:9">
      <c r="A83" s="19"/>
      <c r="B83" s="27"/>
      <c r="C83" s="27"/>
      <c r="D83" s="27"/>
      <c r="E83" s="27"/>
      <c r="F83" s="27"/>
      <c r="G83" s="27"/>
      <c r="H83" s="27"/>
      <c r="I83" s="1"/>
    </row>
    <row r="84" spans="1:9">
      <c r="A84" s="19"/>
      <c r="B84" s="27"/>
      <c r="C84" s="27"/>
      <c r="D84" s="27"/>
      <c r="E84" s="27"/>
      <c r="F84" s="27"/>
      <c r="G84" s="27"/>
      <c r="H84" s="27"/>
      <c r="I84" s="1"/>
    </row>
    <row r="85" spans="1:9">
      <c r="A85" s="19"/>
      <c r="B85" s="27"/>
      <c r="C85" s="27"/>
      <c r="D85" s="27"/>
      <c r="E85" s="27"/>
      <c r="F85" s="27"/>
      <c r="G85" s="27"/>
      <c r="H85" s="27"/>
      <c r="I85" s="1"/>
    </row>
    <row r="86" spans="1:9">
      <c r="A86" s="19"/>
      <c r="B86" s="27"/>
      <c r="C86" s="27"/>
      <c r="D86" s="27"/>
      <c r="E86" s="27"/>
      <c r="F86" s="27"/>
      <c r="G86" s="27"/>
      <c r="H86" s="27"/>
      <c r="I86" s="1"/>
    </row>
    <row r="87" spans="1:9">
      <c r="A87" s="19"/>
      <c r="B87" s="27"/>
      <c r="C87" s="27"/>
      <c r="D87" s="27"/>
      <c r="E87" s="27"/>
      <c r="F87" s="27"/>
      <c r="G87" s="27"/>
      <c r="H87" s="27"/>
      <c r="I87" s="1"/>
    </row>
    <row r="88" ht="10.5" customHeight="1" spans="1:9">
      <c r="A88" s="19"/>
      <c r="B88" s="27"/>
      <c r="C88" s="27"/>
      <c r="D88" s="27"/>
      <c r="E88" s="27"/>
      <c r="F88" s="27"/>
      <c r="G88" s="27"/>
      <c r="H88" s="27"/>
      <c r="I88" s="1"/>
    </row>
    <row r="89" spans="1:9">
      <c r="A89" s="19"/>
      <c r="B89" s="19"/>
      <c r="C89" s="19"/>
      <c r="D89" s="19"/>
      <c r="E89" s="19"/>
      <c r="F89" s="19"/>
      <c r="G89" s="19"/>
      <c r="H89" s="19"/>
      <c r="I89" s="19"/>
    </row>
  </sheetData>
  <mergeCells count="6">
    <mergeCell ref="B2:G2"/>
    <mergeCell ref="B3:G3"/>
    <mergeCell ref="B4:H4"/>
    <mergeCell ref="B5:H5"/>
    <mergeCell ref="B13:H13"/>
    <mergeCell ref="H2:H3"/>
  </mergeCells>
  <pageMargins left="0.7" right="0.7" top="0.75" bottom="0.75" header="0.3" footer="0.3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anees</cp:lastModifiedBy>
  <dcterms:created xsi:type="dcterms:W3CDTF">2015-06-05T18:17:00Z</dcterms:created>
  <dcterms:modified xsi:type="dcterms:W3CDTF">2026-10-16T16:18:06Z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0933994DD8B84443B81BBBD7B196C0FA_12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