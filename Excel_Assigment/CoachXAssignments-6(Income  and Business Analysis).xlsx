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activeTab="1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<sst xmlns="http://schemas.openxmlformats.org/spreadsheetml/2006/main" count="90" uniqueCount="86">
  <si>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 xml:space="preserve"> </t>
  </si>
  <si>
    <t>Asian Paints Ltd Income Statement Comparative Horizontal Ananlysis</t>
  </si>
  <si>
    <t>For Years Ended March 31, 2016 and 2015</t>
  </si>
  <si>
    <t>Description</t>
  </si>
  <si>
    <t>Variance</t>
  </si>
  <si>
    <t>Amount</t>
  </si>
  <si>
    <t>Percentage</t>
  </si>
  <si>
    <t>INCOME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</si>
  <si>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</si>
  <si>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</si>
  <si>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</si>
  <si>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</si>
  <si>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</si>
  <si>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Total Revenue (I)  </t>
  </si>
  <si>
    <t>EXPENSES</t>
  </si>
  <si>
    <t xml:space="preserve">Cost of Materials Consumed 20A  </t>
  </si>
  <si>
    <t>Purchases of Stock-in-Trade</t>
  </si>
  <si>
    <t xml:space="preserve">Changes in inventories of finished goods, work-in-progress and stock-in-trade  </t>
  </si>
  <si>
    <t>Employee Benefits Expense</t>
  </si>
  <si>
    <t>Other Expenses</t>
  </si>
  <si>
    <t xml:space="preserve">Total (II) </t>
  </si>
  <si>
    <t>EARNINGS BEFORE INTEREST, TAX, DEPRECIATION AND AMORTISATION (EBITDA) (I) -(II)</t>
  </si>
  <si>
    <t>Depreciation and Amortisation Expense</t>
  </si>
  <si>
    <t>Finance Costs</t>
  </si>
  <si>
    <t xml:space="preserve">PROFIT BEFORE EXCEPTIONAL ITEMS AND TAX </t>
  </si>
  <si>
    <t>Exceptional Items</t>
  </si>
  <si>
    <t xml:space="preserve">PROFIT BEFORE TAX </t>
  </si>
  <si>
    <t>Less : Tax Expense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</si>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</sst>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_);_(* \(#,##0\);_(* &quot;-&quot;_);_(@_)"/>
    <numFmt numFmtId="181" formatCode="dd/mm/yyyy"/>
    <numFmt numFmtId="182" formatCode="_ [$₹-4009]\ * #,##0.00_ ;_ [$₹-4009]\ * \-#,##0.00_ ;_ [$₹-4009]\ * &quot;-&quot;_ ;_ @_ "/>
    <numFmt numFmtId="183" formatCode="_ [$₹-4009]\ * #,##0.00_ ;_ [$₹-4009]\ * \-#,##0.00_ ;_ [$₹-4009]\ * &quot;-&quot;??_ ;_ @_ "/>
    <numFmt numFmtId="184" formatCode="_ [$₹-4009]\ * #,##0_ ;_ [$₹-4009]\ * \-#,##0_ ;_ [$₹-4009]\ * &quot;-&quot;_ ;_ @_ "/>
  </numFmts>
  <fonts count="40">
    <font>
      <sz val="11"/>
      <color theme="1"/>
      <name val="Calibri"/>
      <charset val="134"/>
      <scheme val="minor"/>
    </font>
    <font>
      <sz val="10"/>
      <name val="Arial"/>
      <charset val="134"/>
    </font>
    <font>
      <sz val="18"/>
      <color theme="0"/>
      <name val="Andalus"/>
      <charset val="134"/>
    </font>
    <font>
      <b/>
      <sz val="14"/>
      <color theme="0"/>
      <name val="Andalus"/>
      <charset val="134"/>
    </font>
    <font>
      <sz val="10"/>
      <name val="Andalus"/>
      <charset val="134"/>
    </font>
    <font>
      <b/>
      <i/>
      <sz val="11"/>
      <name val="Andalus"/>
      <charset val="134"/>
    </font>
    <font>
      <b/>
      <sz val="11"/>
      <name val="Andalus"/>
      <charset val="134"/>
    </font>
    <font>
      <sz val="11"/>
      <name val="Andalus"/>
      <charset val="134"/>
    </font>
    <font>
      <b/>
      <sz val="11"/>
      <color theme="0"/>
      <name val="Andalus"/>
      <charset val="134"/>
    </font>
    <font>
      <b/>
      <i/>
      <sz val="11"/>
      <color theme="0"/>
      <name val="Andalus"/>
      <charset val="134"/>
    </font>
    <font>
      <sz val="11"/>
      <color theme="0"/>
      <name val="Andalus"/>
      <charset val="134"/>
    </font>
    <font>
      <b/>
      <sz val="12"/>
      <color theme="0"/>
      <name val="Andalus"/>
      <charset val="134"/>
    </font>
    <font>
      <b/>
      <sz val="10"/>
      <color theme="0"/>
      <name val="Andalus"/>
      <charset val="134"/>
    </font>
    <font>
      <sz val="10"/>
      <name val="Calibri"/>
      <charset val="134"/>
      <scheme val="minor"/>
    </font>
    <font>
      <b/>
      <u/>
      <sz val="14"/>
      <color rgb="FFFFFF00"/>
      <name val="Calibri"/>
      <charset val="134"/>
    </font>
    <font>
      <b/>
      <sz val="1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15" applyNumberFormat="0" applyAlignment="0" applyProtection="0">
      <alignment vertical="center"/>
    </xf>
    <xf numFmtId="0" fontId="30" fillId="13" borderId="16" applyNumberFormat="0" applyAlignment="0" applyProtection="0">
      <alignment vertical="center"/>
    </xf>
    <xf numFmtId="0" fontId="31" fillId="13" borderId="15" applyNumberFormat="0" applyAlignment="0" applyProtection="0">
      <alignment vertical="center"/>
    </xf>
    <xf numFmtId="0" fontId="32" fillId="14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right" vertical="center"/>
    </xf>
    <xf numFmtId="180" fontId="7" fillId="4" borderId="4" xfId="2" applyNumberFormat="1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80" fontId="7" fillId="4" borderId="5" xfId="2" applyNumberFormat="1" applyFont="1" applyFill="1" applyBorder="1" applyAlignment="1">
      <alignment vertical="center"/>
    </xf>
    <xf numFmtId="0" fontId="7" fillId="4" borderId="6" xfId="0" applyFont="1" applyFill="1" applyBorder="1" applyAlignment="1">
      <alignment horizontal="right" vertical="center"/>
    </xf>
    <xf numFmtId="180" fontId="7" fillId="4" borderId="6" xfId="2" applyNumberFormat="1" applyFont="1" applyFill="1" applyBorder="1" applyAlignment="1">
      <alignment vertical="center"/>
    </xf>
    <xf numFmtId="0" fontId="8" fillId="5" borderId="7" xfId="0" applyFont="1" applyFill="1" applyBorder="1" applyAlignment="1">
      <alignment horizontal="right" vertical="center"/>
    </xf>
    <xf numFmtId="180" fontId="8" fillId="5" borderId="7" xfId="2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horizontal="right" vertical="center"/>
    </xf>
    <xf numFmtId="180" fontId="10" fillId="5" borderId="7" xfId="2" applyNumberFormat="1" applyFont="1" applyFill="1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vertical="center"/>
    </xf>
    <xf numFmtId="180" fontId="11" fillId="3" borderId="7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80" fontId="7" fillId="4" borderId="4" xfId="0" applyNumberFormat="1" applyFont="1" applyFill="1" applyBorder="1" applyAlignment="1">
      <alignment vertical="center"/>
    </xf>
    <xf numFmtId="180" fontId="7" fillId="4" borderId="5" xfId="0" applyNumberFormat="1" applyFont="1" applyFill="1" applyBorder="1" applyAlignment="1">
      <alignment vertical="center"/>
    </xf>
    <xf numFmtId="180" fontId="7" fillId="4" borderId="6" xfId="0" applyNumberFormat="1" applyFont="1" applyFill="1" applyBorder="1" applyAlignment="1">
      <alignment vertical="center"/>
    </xf>
    <xf numFmtId="0" fontId="8" fillId="5" borderId="6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center" vertical="center"/>
    </xf>
    <xf numFmtId="180" fontId="12" fillId="3" borderId="7" xfId="0" applyNumberFormat="1" applyFont="1" applyFill="1" applyBorder="1" applyAlignment="1">
      <alignment vertical="center"/>
    </xf>
    <xf numFmtId="181" fontId="12" fillId="3" borderId="7" xfId="0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0" fillId="6" borderId="4" xfId="0" applyFill="1" applyBorder="1"/>
    <xf numFmtId="0" fontId="14" fillId="2" borderId="2" xfId="6" applyFont="1" applyFill="1" applyBorder="1" applyAlignment="1" applyProtection="1">
      <alignment horizontal="center" vertical="center"/>
    </xf>
    <xf numFmtId="0" fontId="0" fillId="6" borderId="5" xfId="0" applyFill="1" applyBorder="1"/>
    <xf numFmtId="0" fontId="15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0" fillId="6" borderId="10" xfId="0" applyFill="1" applyBorder="1"/>
    <xf numFmtId="0" fontId="17" fillId="8" borderId="1" xfId="0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0" fillId="6" borderId="9" xfId="0" applyFill="1" applyBorder="1"/>
    <xf numFmtId="0" fontId="18" fillId="9" borderId="4" xfId="0" applyFont="1" applyFill="1" applyBorder="1" applyAlignment="1">
      <alignment vertical="center" wrapText="1"/>
    </xf>
    <xf numFmtId="182" fontId="18" fillId="9" borderId="4" xfId="0" applyNumberFormat="1" applyFont="1" applyFill="1" applyBorder="1" applyAlignment="1">
      <alignment vertical="center"/>
    </xf>
    <xf numFmtId="183" fontId="18" fillId="9" borderId="4" xfId="0" applyNumberFormat="1" applyFont="1" applyFill="1" applyBorder="1" applyAlignment="1">
      <alignment vertical="center"/>
    </xf>
    <xf numFmtId="0" fontId="18" fillId="10" borderId="4" xfId="3" applyNumberFormat="1" applyFont="1" applyFill="1" applyBorder="1" applyAlignment="1">
      <alignment vertical="center"/>
    </xf>
    <xf numFmtId="10" fontId="0" fillId="0" borderId="0" xfId="0" applyNumberFormat="1"/>
    <xf numFmtId="0" fontId="18" fillId="9" borderId="6" xfId="0" applyFont="1" applyFill="1" applyBorder="1" applyAlignment="1">
      <alignment vertical="center" wrapText="1"/>
    </xf>
    <xf numFmtId="182" fontId="18" fillId="9" borderId="6" xfId="0" applyNumberFormat="1" applyFont="1" applyFill="1" applyBorder="1" applyAlignment="1">
      <alignment vertical="center"/>
    </xf>
    <xf numFmtId="0" fontId="17" fillId="2" borderId="7" xfId="0" applyFont="1" applyFill="1" applyBorder="1" applyAlignment="1">
      <alignment horizontal="right" vertical="center" wrapText="1"/>
    </xf>
    <xf numFmtId="182" fontId="17" fillId="2" borderId="7" xfId="0" applyNumberFormat="1" applyFont="1" applyFill="1" applyBorder="1" applyAlignment="1">
      <alignment vertical="center"/>
    </xf>
    <xf numFmtId="184" fontId="18" fillId="9" borderId="6" xfId="0" applyNumberFormat="1" applyFont="1" applyFill="1" applyBorder="1" applyAlignment="1">
      <alignment vertical="center"/>
    </xf>
    <xf numFmtId="0" fontId="17" fillId="2" borderId="7" xfId="0" applyFont="1" applyFill="1" applyBorder="1" applyAlignment="1">
      <alignment horizontal="right" vertical="center"/>
    </xf>
    <xf numFmtId="183" fontId="17" fillId="2" borderId="7" xfId="0" applyNumberFormat="1" applyFont="1" applyFill="1" applyBorder="1" applyAlignment="1">
      <alignment vertical="center"/>
    </xf>
    <xf numFmtId="0" fontId="17" fillId="8" borderId="1" xfId="0" applyFont="1" applyFill="1" applyBorder="1" applyAlignment="1">
      <alignment horizontal="left" vertical="center"/>
    </xf>
    <xf numFmtId="184" fontId="19" fillId="8" borderId="2" xfId="0" applyNumberFormat="1" applyFont="1" applyFill="1" applyBorder="1" applyAlignment="1">
      <alignment vertical="center"/>
    </xf>
    <xf numFmtId="0" fontId="18" fillId="9" borderId="5" xfId="0" applyFont="1" applyFill="1" applyBorder="1" applyAlignment="1">
      <alignment vertical="center" wrapText="1"/>
    </xf>
    <xf numFmtId="182" fontId="18" fillId="9" borderId="5" xfId="0" applyNumberFormat="1" applyFont="1" applyFill="1" applyBorder="1" applyAlignment="1">
      <alignment vertical="center"/>
    </xf>
    <xf numFmtId="177" fontId="18" fillId="9" borderId="5" xfId="0" applyNumberFormat="1" applyFont="1" applyFill="1" applyBorder="1" applyAlignment="1">
      <alignment vertical="center"/>
    </xf>
    <xf numFmtId="0" fontId="20" fillId="6" borderId="10" xfId="0" applyFont="1" applyFill="1" applyBorder="1"/>
    <xf numFmtId="0" fontId="17" fillId="2" borderId="7" xfId="0" applyFont="1" applyFill="1" applyBorder="1" applyAlignment="1">
      <alignment vertical="center" wrapText="1"/>
    </xf>
    <xf numFmtId="0" fontId="18" fillId="9" borderId="7" xfId="0" applyFont="1" applyFill="1" applyBorder="1" applyAlignment="1">
      <alignment vertical="center" wrapText="1"/>
    </xf>
    <xf numFmtId="182" fontId="18" fillId="9" borderId="7" xfId="0" applyNumberFormat="1" applyFont="1" applyFill="1" applyBorder="1" applyAlignment="1">
      <alignment vertical="center"/>
    </xf>
    <xf numFmtId="0" fontId="17" fillId="8" borderId="1" xfId="0" applyFont="1" applyFill="1" applyBorder="1" applyAlignment="1">
      <alignment vertical="center" wrapText="1"/>
    </xf>
    <xf numFmtId="182" fontId="20" fillId="8" borderId="2" xfId="0" applyNumberFormat="1" applyFont="1" applyFill="1" applyBorder="1" applyAlignment="1">
      <alignment vertical="center"/>
    </xf>
    <xf numFmtId="177" fontId="18" fillId="9" borderId="6" xfId="0" applyNumberFormat="1" applyFont="1" applyFill="1" applyBorder="1" applyAlignment="1">
      <alignment vertical="center"/>
    </xf>
    <xf numFmtId="10" fontId="17" fillId="7" borderId="7" xfId="0" applyNumberFormat="1" applyFont="1" applyFill="1" applyBorder="1" applyAlignment="1">
      <alignment vertical="center"/>
    </xf>
    <xf numFmtId="0" fontId="0" fillId="6" borderId="6" xfId="0" applyFill="1" applyBorder="1"/>
    <xf numFmtId="0" fontId="0" fillId="6" borderId="1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>
      <xdr:nvSpPr>
        <xdr:cNvPr id="2" name="TextBox 1"/>
        <xdr:cNvSpPr txBox="1"/>
      </xdr:nvSpPr>
      <xdr:spPr>
        <a:xfrm>
          <a:off x="10096500" y="1094740"/>
          <a:ext cx="7764145" cy="363156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  <a:endParaRPr lang="en-US" sz="2000" baseline="0"/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  <a:endParaRPr lang="en-US" sz="2000" baseline="0"/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  <a:endParaRPr lang="en-US" sz="2000" baseline="0"/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>
      <xdr:nvSpPr>
        <xdr:cNvPr id="3" name="TextBox 2"/>
        <xdr:cNvSpPr txBox="1"/>
      </xdr:nvSpPr>
      <xdr:spPr>
        <a:xfrm>
          <a:off x="10166350" y="676910"/>
          <a:ext cx="3714750" cy="325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  <a:endParaRPr lang="en-US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>
      <xdr:nvSpPr>
        <xdr:cNvPr id="2" name="TextBox 1"/>
        <xdr:cNvSpPr txBox="1"/>
      </xdr:nvSpPr>
      <xdr:spPr>
        <a:xfrm>
          <a:off x="11706225" y="742950"/>
          <a:ext cx="5924550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2" zoomScaleNormal="82" topLeftCell="A16" workbookViewId="0">
      <selection activeCell="A4" sqref="A4"/>
    </sheetView>
  </sheetViews>
  <sheetFormatPr defaultColWidth="9" defaultRowHeight="15"/>
  <cols>
    <col min="1" max="1" width="1.71428571428571" customWidth="1"/>
    <col min="2" max="2" width="50" customWidth="1"/>
    <col min="3" max="3" width="13.4285714285714" customWidth="1"/>
    <col min="4" max="4" width="13.1428571428571" customWidth="1"/>
    <col min="5" max="6" width="11.2857142857143" customWidth="1"/>
    <col min="7" max="7" width="1.71428571428571" customWidth="1"/>
    <col min="9" max="9" width="17.8571428571429" customWidth="1"/>
    <col min="13" max="13" width="10.7142857142857" customWidth="1"/>
  </cols>
  <sheetData>
    <row r="1" ht="20.25" spans="1:11">
      <c r="A1" s="40"/>
      <c r="B1" s="41"/>
      <c r="C1" s="41"/>
      <c r="D1" s="41"/>
      <c r="E1" s="41"/>
      <c r="F1" s="41"/>
      <c r="G1" s="40"/>
      <c r="K1" t="s">
        <v>0</v>
      </c>
    </row>
    <row r="2" ht="20.25" spans="1:11">
      <c r="A2" s="42"/>
      <c r="B2" s="43" t="s">
        <v>1</v>
      </c>
      <c r="C2" s="43"/>
      <c r="D2" s="43"/>
      <c r="E2" s="43"/>
      <c r="F2" s="43"/>
      <c r="G2" s="42"/>
    </row>
    <row r="3" ht="20.25" spans="1:11">
      <c r="A3" s="42"/>
      <c r="B3" s="43" t="s">
        <v>2</v>
      </c>
      <c r="C3" s="43"/>
      <c r="D3" s="43"/>
      <c r="E3" s="43"/>
      <c r="F3" s="43"/>
      <c r="G3" s="42"/>
    </row>
    <row r="4" ht="17.25" spans="1:11">
      <c r="A4" s="42"/>
      <c r="B4" s="44" t="s">
        <v>3</v>
      </c>
      <c r="C4" s="45">
        <v>2016</v>
      </c>
      <c r="D4" s="46">
        <v>2015</v>
      </c>
      <c r="E4" s="46" t="s">
        <v>4</v>
      </c>
      <c r="F4" s="47"/>
      <c r="G4" s="42"/>
    </row>
    <row r="5" ht="17.25" spans="1:11">
      <c r="A5" s="42"/>
      <c r="B5" s="48"/>
      <c r="C5" s="49" t="s">
        <v>5</v>
      </c>
      <c r="D5" s="49" t="s">
        <v>5</v>
      </c>
      <c r="E5" s="49" t="s">
        <v>5</v>
      </c>
      <c r="F5" s="50" t="s">
        <v>6</v>
      </c>
      <c r="G5" s="42"/>
    </row>
    <row r="6" ht="16.5" spans="1:11">
      <c r="A6" s="51"/>
      <c r="B6" s="52" t="s">
        <v>7</v>
      </c>
      <c r="C6" s="53"/>
      <c r="D6" s="53"/>
      <c r="E6" s="53"/>
      <c r="F6" s="54"/>
      <c r="G6" s="55"/>
    </row>
    <row r="7" ht="31.5" spans="1:11">
      <c r="A7" s="51"/>
      <c r="B7" s="56" t="s">
        <v>8</v>
      </c>
      <c r="C7" s="57">
        <v>13992.15</v>
      </c>
      <c r="D7" s="57">
        <v>12878.8</v>
      </c>
      <c r="E7" s="58">
        <f>C7-D7</f>
        <v>1113.35</v>
      </c>
      <c r="F7" s="59">
        <f>E7/D7*100</f>
        <v>8.64482715780974</v>
      </c>
      <c r="G7" s="55"/>
      <c r="I7" s="60"/>
    </row>
    <row r="8" ht="16.5" spans="1:11">
      <c r="A8" s="51"/>
      <c r="B8" s="61" t="s">
        <v>9</v>
      </c>
      <c r="C8" s="62">
        <v>1533.5</v>
      </c>
      <c r="D8" s="62">
        <v>1393.13</v>
      </c>
      <c r="E8" s="58">
        <f t="shared" ref="E8:E29" si="0">C8-D8</f>
        <v>140.37</v>
      </c>
      <c r="F8" s="59">
        <f t="shared" ref="F8:F29" si="1">E8/D8*100</f>
        <v>10.075872316295</v>
      </c>
      <c r="G8" s="55"/>
    </row>
    <row r="9" ht="31.5" spans="1:11">
      <c r="A9" s="51"/>
      <c r="B9" s="63" t="s">
        <v>10</v>
      </c>
      <c r="C9" s="64">
        <f>C7-C8</f>
        <v>12458.65</v>
      </c>
      <c r="D9" s="64">
        <f>D7-D8</f>
        <v>11485.67</v>
      </c>
      <c r="E9" s="58">
        <f t="shared" si="0"/>
        <v>972.980000000001</v>
      </c>
      <c r="F9" s="59">
        <f t="shared" si="1"/>
        <v>8.47125156825855</v>
      </c>
      <c r="G9" s="55"/>
    </row>
    <row r="10" ht="16.5" spans="1:11">
      <c r="A10" s="51"/>
      <c r="B10" s="56" t="s">
        <v>11</v>
      </c>
      <c r="C10" s="57">
        <v>187.23</v>
      </c>
      <c r="D10" s="57">
        <v>163.16</v>
      </c>
      <c r="E10" s="58">
        <f t="shared" si="0"/>
        <v>24.07</v>
      </c>
      <c r="F10" s="59">
        <f t="shared" si="1"/>
        <v>14.7523902917382</v>
      </c>
      <c r="G10" s="55"/>
    </row>
    <row r="11" ht="16.5" spans="1:11">
      <c r="A11" s="51"/>
      <c r="B11" s="61" t="s">
        <v>12</v>
      </c>
      <c r="C11" s="65">
        <v>225.3</v>
      </c>
      <c r="D11" s="65">
        <v>186.82</v>
      </c>
      <c r="E11" s="58">
        <f t="shared" si="0"/>
        <v>38.48</v>
      </c>
      <c r="F11" s="59">
        <f t="shared" si="1"/>
        <v>20.5973664489883</v>
      </c>
      <c r="G11" s="55"/>
    </row>
    <row r="12" ht="16.5" spans="1:11">
      <c r="A12" s="51"/>
      <c r="B12" s="66" t="s">
        <v>13</v>
      </c>
      <c r="C12" s="67">
        <f>C9+SUM(C10:C11)</f>
        <v>12871.18</v>
      </c>
      <c r="D12" s="67">
        <f>D9+SUM(D10:D11)</f>
        <v>11835.65</v>
      </c>
      <c r="E12" s="58">
        <f t="shared" si="0"/>
        <v>1035.53</v>
      </c>
      <c r="F12" s="59">
        <f t="shared" si="1"/>
        <v>8.74924486614595</v>
      </c>
      <c r="G12" s="55"/>
    </row>
    <row r="13" ht="16.5" spans="1:11">
      <c r="A13" s="51"/>
      <c r="B13" s="68" t="s">
        <v>14</v>
      </c>
      <c r="C13" s="69"/>
      <c r="D13" s="69"/>
      <c r="E13" s="58"/>
      <c r="F13" s="59"/>
      <c r="G13" s="55"/>
    </row>
    <row r="14" ht="16.5" spans="1:11">
      <c r="A14" s="51"/>
      <c r="B14" s="70" t="s">
        <v>15</v>
      </c>
      <c r="C14" s="57">
        <v>5842.29</v>
      </c>
      <c r="D14" s="57">
        <v>6191.72</v>
      </c>
      <c r="E14" s="58">
        <f t="shared" si="0"/>
        <v>-349.43</v>
      </c>
      <c r="F14" s="59">
        <f t="shared" si="1"/>
        <v>-5.6435045512394</v>
      </c>
      <c r="G14" s="55"/>
    </row>
    <row r="15" ht="16.5" spans="1:11">
      <c r="A15" s="51"/>
      <c r="B15" s="70" t="s">
        <v>16</v>
      </c>
      <c r="C15" s="71">
        <v>524.42</v>
      </c>
      <c r="D15" s="71">
        <v>380.56</v>
      </c>
      <c r="E15" s="58">
        <f t="shared" si="0"/>
        <v>143.86</v>
      </c>
      <c r="F15" s="59">
        <f t="shared" si="1"/>
        <v>37.8021862518394</v>
      </c>
      <c r="G15" s="55"/>
    </row>
    <row r="16" ht="31.5" spans="1:11">
      <c r="A16" s="51"/>
      <c r="B16" s="70" t="s">
        <v>17</v>
      </c>
      <c r="C16" s="71">
        <v>162.86</v>
      </c>
      <c r="D16" s="72">
        <v>-132.43</v>
      </c>
      <c r="E16" s="58">
        <f t="shared" si="0"/>
        <v>295.29</v>
      </c>
      <c r="F16" s="59">
        <f t="shared" si="1"/>
        <v>-222.978177150193</v>
      </c>
      <c r="G16" s="55"/>
    </row>
    <row r="17" ht="16.5" spans="1:7">
      <c r="A17" s="51"/>
      <c r="B17" s="70" t="s">
        <v>18</v>
      </c>
      <c r="C17" s="71">
        <v>664.2</v>
      </c>
      <c r="D17" s="71">
        <v>606.94</v>
      </c>
      <c r="E17" s="58">
        <f t="shared" si="0"/>
        <v>57.26</v>
      </c>
      <c r="F17" s="59">
        <f t="shared" si="1"/>
        <v>9.43421095989719</v>
      </c>
      <c r="G17" s="55"/>
    </row>
    <row r="18" ht="16.5" spans="1:7">
      <c r="A18" s="51"/>
      <c r="B18" s="61" t="s">
        <v>19</v>
      </c>
      <c r="C18" s="62">
        <v>2972.55</v>
      </c>
      <c r="D18" s="62">
        <v>2591.52</v>
      </c>
      <c r="E18" s="58">
        <f t="shared" si="0"/>
        <v>381.03</v>
      </c>
      <c r="F18" s="59">
        <f t="shared" si="1"/>
        <v>14.7029542507872</v>
      </c>
      <c r="G18" s="55"/>
    </row>
    <row r="19" ht="16.5" spans="1:7">
      <c r="A19" s="51"/>
      <c r="B19" s="66" t="s">
        <v>20</v>
      </c>
      <c r="C19" s="64">
        <f>SUM(C14:C18)</f>
        <v>10166.32</v>
      </c>
      <c r="D19" s="64">
        <f>SUM(D14:D18)</f>
        <v>9638.31</v>
      </c>
      <c r="E19" s="58">
        <f t="shared" si="0"/>
        <v>528.009999999998</v>
      </c>
      <c r="F19" s="59">
        <f t="shared" si="1"/>
        <v>5.47824255497072</v>
      </c>
      <c r="G19" s="55"/>
    </row>
    <row r="20" ht="31.5" spans="1:7">
      <c r="A20" s="51"/>
      <c r="B20" s="63" t="s">
        <v>21</v>
      </c>
      <c r="C20" s="64">
        <f>C12-C19</f>
        <v>2704.86</v>
      </c>
      <c r="D20" s="64">
        <f>D12-D19</f>
        <v>2197.34</v>
      </c>
      <c r="E20" s="58">
        <f t="shared" si="0"/>
        <v>507.520000000004</v>
      </c>
      <c r="F20" s="59">
        <f t="shared" si="1"/>
        <v>23.097017302739</v>
      </c>
      <c r="G20" s="55"/>
    </row>
    <row r="21" ht="16.5" spans="1:7">
      <c r="A21" s="51"/>
      <c r="B21" s="56" t="s">
        <v>22</v>
      </c>
      <c r="C21" s="57">
        <v>238.36</v>
      </c>
      <c r="D21" s="57">
        <v>223.11</v>
      </c>
      <c r="E21" s="58">
        <f t="shared" si="0"/>
        <v>15.25</v>
      </c>
      <c r="F21" s="59">
        <f t="shared" si="1"/>
        <v>6.83519340235758</v>
      </c>
      <c r="G21" s="55"/>
    </row>
    <row r="22" ht="16.5" spans="1:7">
      <c r="A22" s="51"/>
      <c r="B22" s="61" t="s">
        <v>23</v>
      </c>
      <c r="C22" s="62">
        <v>23.4</v>
      </c>
      <c r="D22" s="62">
        <v>27.13</v>
      </c>
      <c r="E22" s="58">
        <f t="shared" si="0"/>
        <v>-3.73</v>
      </c>
      <c r="F22" s="59">
        <f t="shared" si="1"/>
        <v>-13.7486177663104</v>
      </c>
      <c r="G22" s="55"/>
    </row>
    <row r="23" ht="16.5" spans="1:7">
      <c r="A23" s="73"/>
      <c r="B23" s="74" t="s">
        <v>24</v>
      </c>
      <c r="C23" s="64">
        <f>C20-SUM(C21:C22)</f>
        <v>2443.1</v>
      </c>
      <c r="D23" s="64">
        <f>D20-SUM(D21:D22)</f>
        <v>1947.1</v>
      </c>
      <c r="E23" s="58">
        <f t="shared" si="0"/>
        <v>496.000000000004</v>
      </c>
      <c r="F23" s="59">
        <f t="shared" si="1"/>
        <v>25.473781521237</v>
      </c>
      <c r="G23" s="55"/>
    </row>
    <row r="24" ht="16.5" spans="1:7">
      <c r="A24" s="51"/>
      <c r="B24" s="75" t="s">
        <v>25</v>
      </c>
      <c r="C24" s="76">
        <v>65.35</v>
      </c>
      <c r="D24" s="76">
        <v>13.53</v>
      </c>
      <c r="E24" s="58">
        <f t="shared" si="0"/>
        <v>51.82</v>
      </c>
      <c r="F24" s="59">
        <f t="shared" si="1"/>
        <v>383.0007390983</v>
      </c>
      <c r="G24" s="55"/>
    </row>
    <row r="25" ht="16.5" spans="1:7">
      <c r="A25" s="51"/>
      <c r="B25" s="74" t="s">
        <v>26</v>
      </c>
      <c r="C25" s="64">
        <f>C23-C24</f>
        <v>2377.75</v>
      </c>
      <c r="D25" s="64">
        <f>D23-D24</f>
        <v>1933.57</v>
      </c>
      <c r="E25" s="58">
        <f t="shared" si="0"/>
        <v>444.180000000004</v>
      </c>
      <c r="F25" s="59">
        <f t="shared" si="1"/>
        <v>22.9720154946552</v>
      </c>
      <c r="G25" s="55"/>
    </row>
    <row r="26" ht="16.5" spans="1:7">
      <c r="A26" s="51"/>
      <c r="B26" s="77" t="s">
        <v>27</v>
      </c>
      <c r="C26" s="78"/>
      <c r="D26" s="78"/>
      <c r="E26" s="58"/>
      <c r="F26" s="59"/>
      <c r="G26" s="55"/>
    </row>
    <row r="27" ht="16.5" spans="1:7">
      <c r="A27" s="51"/>
      <c r="B27" s="56" t="s">
        <v>28</v>
      </c>
      <c r="C27" s="57">
        <v>743.74</v>
      </c>
      <c r="D27" s="57">
        <v>616.42</v>
      </c>
      <c r="E27" s="58">
        <f t="shared" si="0"/>
        <v>127.32</v>
      </c>
      <c r="F27" s="59">
        <f t="shared" si="1"/>
        <v>20.6547483858408</v>
      </c>
      <c r="G27" s="55"/>
    </row>
    <row r="28" ht="16.5" spans="1:7">
      <c r="A28" s="51"/>
      <c r="B28" s="70" t="s">
        <v>29</v>
      </c>
      <c r="C28" s="72">
        <v>-3.33</v>
      </c>
      <c r="D28" s="72">
        <v>-0.96</v>
      </c>
      <c r="E28" s="58">
        <f t="shared" si="0"/>
        <v>-2.37</v>
      </c>
      <c r="F28" s="59">
        <f t="shared" si="1"/>
        <v>246.875</v>
      </c>
      <c r="G28" s="55"/>
    </row>
    <row r="29" ht="16.5" spans="1:7">
      <c r="A29" s="51"/>
      <c r="B29" s="61" t="s">
        <v>30</v>
      </c>
      <c r="C29" s="62">
        <v>39.91</v>
      </c>
      <c r="D29" s="79">
        <v>-9.29</v>
      </c>
      <c r="E29" s="58">
        <f t="shared" si="0"/>
        <v>49.2</v>
      </c>
      <c r="F29" s="59">
        <f t="shared" si="1"/>
        <v>-529.601722282024</v>
      </c>
      <c r="G29" s="55"/>
    </row>
    <row r="30" ht="16.5" spans="1:7">
      <c r="A30" s="51"/>
      <c r="B30" s="74" t="s">
        <v>31</v>
      </c>
      <c r="C30" s="64">
        <f>SUM(C27:C29)</f>
        <v>780.32</v>
      </c>
      <c r="D30" s="64">
        <f>SUM(D27:D29)</f>
        <v>606.17</v>
      </c>
      <c r="E30" s="67">
        <f t="shared" ref="E30:E31" si="2">C30-D30</f>
        <v>174.15</v>
      </c>
      <c r="F30" s="80">
        <f t="shared" ref="F30:F31" si="3">E30/D30</f>
        <v>0.287295643136414</v>
      </c>
      <c r="G30" s="55"/>
    </row>
    <row r="31" ht="16.5" spans="1:7">
      <c r="A31" s="51"/>
      <c r="B31" s="74" t="s">
        <v>32</v>
      </c>
      <c r="C31" s="64">
        <f>C25-C30</f>
        <v>1597.43</v>
      </c>
      <c r="D31" s="64">
        <f>D25-D30</f>
        <v>1327.4</v>
      </c>
      <c r="E31" s="67">
        <f t="shared" si="2"/>
        <v>270.030000000004</v>
      </c>
      <c r="F31" s="80">
        <f t="shared" si="3"/>
        <v>0.203427753503092</v>
      </c>
      <c r="G31" s="55"/>
    </row>
    <row r="32" ht="9.6" customHeight="1" spans="1:7">
      <c r="A32" s="81"/>
      <c r="B32" s="82"/>
      <c r="C32" s="82"/>
      <c r="D32" s="82"/>
      <c r="E32" s="82"/>
      <c r="F32" s="82"/>
      <c r="G32" s="81"/>
    </row>
    <row r="33" ht="15.75"/>
    <row r="34" spans="5:5">
      <c r="E34" s="60"/>
    </row>
  </sheetData>
  <mergeCells count="5">
    <mergeCell ref="B1:F1"/>
    <mergeCell ref="B2:F2"/>
    <mergeCell ref="B3:F3"/>
    <mergeCell ref="E4:F4"/>
    <mergeCell ref="B4:B5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topLeftCell="A15" workbookViewId="0">
      <selection activeCell="D22" sqref="D22"/>
    </sheetView>
  </sheetViews>
  <sheetFormatPr defaultColWidth="9" defaultRowHeight="15" outlineLevelCol="6"/>
  <cols>
    <col min="1" max="1" width="12.2857142857143" customWidth="1"/>
    <col min="2" max="2" width="37.7142857142857" customWidth="1"/>
    <col min="3" max="3" width="27.2857142857143" customWidth="1"/>
    <col min="4" max="4" width="21.2857142857143" customWidth="1"/>
    <col min="5" max="5" width="37.7142857142857" customWidth="1"/>
    <col min="6" max="6" width="19" customWidth="1"/>
    <col min="7" max="7" width="7.28571428571429" customWidth="1"/>
  </cols>
  <sheetData>
    <row r="1" ht="24.75" spans="1:7">
      <c r="A1" s="1"/>
      <c r="B1" s="2" t="s">
        <v>33</v>
      </c>
      <c r="C1" s="3"/>
      <c r="D1" s="3"/>
      <c r="E1" s="3"/>
      <c r="F1" s="4"/>
      <c r="G1" s="1"/>
    </row>
    <row r="2" ht="24.75" spans="1:7">
      <c r="A2" s="1"/>
      <c r="B2" s="2" t="s">
        <v>34</v>
      </c>
      <c r="C2" s="3"/>
      <c r="D2" s="3"/>
      <c r="E2" s="3"/>
      <c r="F2" s="4"/>
      <c r="G2" s="1"/>
    </row>
    <row r="3" ht="19.5" spans="1:7">
      <c r="A3" s="1"/>
      <c r="B3" s="5" t="s">
        <v>35</v>
      </c>
      <c r="C3" s="6"/>
      <c r="D3" s="7"/>
      <c r="E3" s="5" t="s">
        <v>36</v>
      </c>
      <c r="F3" s="6"/>
      <c r="G3" s="1"/>
    </row>
    <row r="4" ht="16.5" spans="1:7">
      <c r="A4" s="1"/>
      <c r="B4" s="8" t="s">
        <v>37</v>
      </c>
      <c r="C4" s="9"/>
      <c r="D4" s="7"/>
      <c r="E4" s="10" t="s">
        <v>38</v>
      </c>
      <c r="F4" s="11"/>
      <c r="G4" s="1"/>
    </row>
    <row r="5" ht="15.75" spans="1:7">
      <c r="A5" s="1"/>
      <c r="B5" s="12" t="s">
        <v>39</v>
      </c>
      <c r="C5" s="13">
        <v>1250000</v>
      </c>
      <c r="D5" s="7"/>
      <c r="E5" s="12" t="s">
        <v>40</v>
      </c>
      <c r="F5" s="13">
        <v>923400</v>
      </c>
      <c r="G5" s="1"/>
    </row>
    <row r="6" spans="1:7">
      <c r="A6" s="1"/>
      <c r="B6" s="14" t="s">
        <v>41</v>
      </c>
      <c r="C6" s="15">
        <v>50000</v>
      </c>
      <c r="D6" s="7"/>
      <c r="E6" s="14" t="s">
        <v>42</v>
      </c>
      <c r="F6" s="15">
        <v>350000</v>
      </c>
      <c r="G6" s="1"/>
    </row>
    <row r="7" spans="1:7">
      <c r="A7" s="1"/>
      <c r="B7" s="14" t="s">
        <v>43</v>
      </c>
      <c r="C7" s="15">
        <v>200000</v>
      </c>
      <c r="D7" s="7"/>
      <c r="E7" s="14" t="s">
        <v>44</v>
      </c>
      <c r="F7" s="15">
        <v>20000</v>
      </c>
      <c r="G7" s="1"/>
    </row>
    <row r="8" ht="15.75" spans="1:7">
      <c r="A8" s="1"/>
      <c r="B8" s="14" t="s">
        <v>45</v>
      </c>
      <c r="C8" s="15">
        <v>1753500</v>
      </c>
      <c r="D8" s="7"/>
      <c r="E8" s="16" t="s">
        <v>46</v>
      </c>
      <c r="F8" s="17">
        <v>500000</v>
      </c>
      <c r="G8" s="1"/>
    </row>
    <row r="9" ht="16.5" spans="1:7">
      <c r="A9" s="1"/>
      <c r="B9" s="16" t="s">
        <v>47</v>
      </c>
      <c r="C9" s="17">
        <v>0</v>
      </c>
      <c r="D9" s="7"/>
      <c r="E9" s="18" t="s">
        <v>48</v>
      </c>
      <c r="F9" s="19">
        <f>SUM(F5:F8)</f>
        <v>1793400</v>
      </c>
      <c r="G9" s="1"/>
    </row>
    <row r="10" ht="16.5" spans="1:7">
      <c r="A10" s="1"/>
      <c r="B10" s="20" t="s">
        <v>49</v>
      </c>
      <c r="C10" s="21">
        <f>SUM(C5:C9)</f>
        <v>3253500</v>
      </c>
      <c r="D10" s="7"/>
      <c r="E10" s="10" t="s">
        <v>50</v>
      </c>
      <c r="F10" s="22"/>
      <c r="G10" s="1"/>
    </row>
    <row r="11" ht="16.5" spans="1:7">
      <c r="A11" s="1"/>
      <c r="B11" s="23" t="s">
        <v>51</v>
      </c>
      <c r="C11" s="24"/>
      <c r="D11" s="7"/>
      <c r="E11" s="12" t="s">
        <v>52</v>
      </c>
      <c r="F11" s="13">
        <v>400000</v>
      </c>
      <c r="G11" s="1"/>
    </row>
    <row r="12" ht="15.75" spans="1:7">
      <c r="A12" s="1"/>
      <c r="B12" s="12" t="s">
        <v>53</v>
      </c>
      <c r="C12" s="13">
        <v>324000</v>
      </c>
      <c r="D12" s="7"/>
      <c r="E12" s="14" t="s">
        <v>54</v>
      </c>
      <c r="F12" s="15">
        <v>150000</v>
      </c>
      <c r="G12" s="1"/>
    </row>
    <row r="13" ht="15.75" spans="1:7">
      <c r="A13" s="1"/>
      <c r="B13" s="14" t="s">
        <v>55</v>
      </c>
      <c r="C13" s="15">
        <v>0</v>
      </c>
      <c r="D13" s="7"/>
      <c r="E13" s="16" t="s">
        <v>56</v>
      </c>
      <c r="F13" s="17">
        <v>0</v>
      </c>
      <c r="G13" s="1"/>
    </row>
    <row r="14" ht="16.5" spans="1:7">
      <c r="A14" s="1"/>
      <c r="B14" s="16" t="s">
        <v>57</v>
      </c>
      <c r="C14" s="15">
        <v>0</v>
      </c>
      <c r="D14" s="7"/>
      <c r="E14" s="18" t="s">
        <v>58</v>
      </c>
      <c r="F14" s="19">
        <f>SUM(F11:F13)</f>
        <v>550000</v>
      </c>
      <c r="G14" s="1"/>
    </row>
    <row r="15" ht="17.25" spans="1:7">
      <c r="A15" s="1"/>
      <c r="B15" s="20" t="s">
        <v>59</v>
      </c>
      <c r="C15" s="21">
        <f>SUM(C12:C14)</f>
        <v>324000</v>
      </c>
      <c r="D15" s="7"/>
      <c r="E15" s="25" t="s">
        <v>60</v>
      </c>
      <c r="F15" s="26">
        <f>F9+F14</f>
        <v>2343400</v>
      </c>
      <c r="G15" s="1"/>
    </row>
    <row r="16" ht="24.75" spans="1:7">
      <c r="A16" s="1"/>
      <c r="B16" s="8" t="s">
        <v>61</v>
      </c>
      <c r="C16" s="9"/>
      <c r="D16" s="7"/>
      <c r="E16" s="1"/>
      <c r="F16" s="27"/>
      <c r="G16" s="1"/>
    </row>
    <row r="17" ht="24.75" spans="1:7">
      <c r="A17" s="1"/>
      <c r="B17" s="12" t="s">
        <v>62</v>
      </c>
      <c r="C17" s="13">
        <v>2300000</v>
      </c>
      <c r="D17" s="7"/>
      <c r="E17" s="28" t="s">
        <v>63</v>
      </c>
      <c r="F17" s="29"/>
      <c r="G17" s="1"/>
    </row>
    <row r="18" ht="16.5" spans="1:7">
      <c r="A18" s="1"/>
      <c r="B18" s="14" t="s">
        <v>64</v>
      </c>
      <c r="C18" s="15">
        <v>1700000</v>
      </c>
      <c r="D18" s="7"/>
      <c r="E18" s="30" t="s">
        <v>65</v>
      </c>
      <c r="F18" s="31"/>
      <c r="G18" s="1"/>
    </row>
    <row r="19" ht="15.75" spans="1:7">
      <c r="A19" s="1"/>
      <c r="B19" s="14" t="s">
        <v>66</v>
      </c>
      <c r="C19" s="15">
        <v>500000</v>
      </c>
      <c r="D19" s="7"/>
      <c r="E19" s="12" t="s">
        <v>67</v>
      </c>
      <c r="F19" s="32">
        <f>+C10</f>
        <v>3253500</v>
      </c>
      <c r="G19" s="1"/>
    </row>
    <row r="20" spans="1:7">
      <c r="A20" s="1"/>
      <c r="B20" s="14" t="s">
        <v>68</v>
      </c>
      <c r="C20" s="15">
        <v>0</v>
      </c>
      <c r="D20" s="7"/>
      <c r="E20" s="14" t="s">
        <v>69</v>
      </c>
      <c r="F20" s="33">
        <f>C15</f>
        <v>324000</v>
      </c>
      <c r="G20" s="1"/>
    </row>
    <row r="21" spans="1:7">
      <c r="A21" s="1"/>
      <c r="B21" s="16" t="s">
        <v>68</v>
      </c>
      <c r="C21" s="17">
        <v>0</v>
      </c>
      <c r="D21" s="7"/>
      <c r="E21" s="14" t="s">
        <v>70</v>
      </c>
      <c r="F21" s="33">
        <f>C22</f>
        <v>4500000</v>
      </c>
      <c r="G21" s="1"/>
    </row>
    <row r="22" ht="16.5" spans="1:7">
      <c r="A22" s="1"/>
      <c r="B22" s="20" t="s">
        <v>71</v>
      </c>
      <c r="C22" s="19">
        <f>SUM(C17:C21)</f>
        <v>4500000</v>
      </c>
      <c r="D22" s="7"/>
      <c r="E22" s="16" t="s">
        <v>72</v>
      </c>
      <c r="F22" s="34">
        <f>C28</f>
        <v>975000</v>
      </c>
      <c r="G22" s="1"/>
    </row>
    <row r="23" spans="1:7">
      <c r="A23" s="1"/>
      <c r="B23" s="8" t="s">
        <v>73</v>
      </c>
      <c r="C23" s="9"/>
      <c r="D23" s="7"/>
      <c r="E23" s="18" t="s">
        <v>74</v>
      </c>
      <c r="F23" s="19">
        <f>SUM(F19:F22)</f>
        <v>9052500</v>
      </c>
      <c r="G23" s="1"/>
    </row>
    <row r="24" spans="1:7">
      <c r="A24" s="1"/>
      <c r="B24" s="12" t="s">
        <v>75</v>
      </c>
      <c r="C24" s="13">
        <v>525000</v>
      </c>
      <c r="D24" s="7"/>
      <c r="E24" s="30" t="s">
        <v>76</v>
      </c>
      <c r="F24" s="31"/>
      <c r="G24" s="1"/>
    </row>
    <row r="25" ht="15.75" spans="1:7">
      <c r="A25" s="1"/>
      <c r="B25" s="14" t="s">
        <v>77</v>
      </c>
      <c r="C25" s="15">
        <v>450000</v>
      </c>
      <c r="D25" s="7"/>
      <c r="E25" s="12" t="s">
        <v>78</v>
      </c>
      <c r="F25" s="32">
        <f>F9</f>
        <v>1793400</v>
      </c>
      <c r="G25" s="1"/>
    </row>
    <row r="26" ht="15.75" spans="1:7">
      <c r="A26" s="1"/>
      <c r="B26" s="14" t="s">
        <v>79</v>
      </c>
      <c r="C26" s="15">
        <v>0</v>
      </c>
      <c r="D26" s="7"/>
      <c r="E26" s="16" t="s">
        <v>80</v>
      </c>
      <c r="F26" s="34">
        <f>F14</f>
        <v>550000</v>
      </c>
      <c r="G26" s="1"/>
    </row>
    <row r="27" ht="15.75" spans="1:7">
      <c r="A27" s="1"/>
      <c r="B27" s="16" t="s">
        <v>79</v>
      </c>
      <c r="C27" s="17">
        <v>0</v>
      </c>
      <c r="D27" s="7"/>
      <c r="E27" s="35" t="s">
        <v>81</v>
      </c>
      <c r="F27" s="19">
        <f>SUM(F25:F26)</f>
        <v>2343400</v>
      </c>
      <c r="G27" s="1"/>
    </row>
    <row r="28" ht="16.5" spans="1:7">
      <c r="A28" s="1"/>
      <c r="B28" s="20" t="s">
        <v>82</v>
      </c>
      <c r="C28" s="19">
        <f>SUM(C24:C27)</f>
        <v>975000</v>
      </c>
      <c r="D28" s="7"/>
      <c r="E28" s="36" t="s">
        <v>83</v>
      </c>
      <c r="F28" s="37">
        <f>F23-F27</f>
        <v>6709100</v>
      </c>
      <c r="G28" s="1"/>
    </row>
    <row r="29" ht="17.25" spans="1:7">
      <c r="A29" s="1"/>
      <c r="B29" s="25" t="s">
        <v>84</v>
      </c>
      <c r="C29" s="26">
        <f>C28+C22+C15+C10</f>
        <v>9052500</v>
      </c>
      <c r="D29" s="7"/>
      <c r="E29" s="36" t="s">
        <v>85</v>
      </c>
      <c r="F29" s="38"/>
      <c r="G29" s="1"/>
    </row>
    <row r="30" ht="15.75" spans="1:7">
      <c r="A30" s="1"/>
      <c r="B30" s="39"/>
      <c r="C30" s="39"/>
      <c r="D30" s="1"/>
      <c r="E30" s="1"/>
      <c r="F30" s="1"/>
      <c r="G30" s="1"/>
    </row>
  </sheetData>
  <mergeCells count="13">
    <mergeCell ref="B1:F1"/>
    <mergeCell ref="B2:F2"/>
    <mergeCell ref="B3:C3"/>
    <mergeCell ref="E3:F3"/>
    <mergeCell ref="B4:C4"/>
    <mergeCell ref="E4:F4"/>
    <mergeCell ref="E10:F10"/>
    <mergeCell ref="B11:C11"/>
    <mergeCell ref="B16:C16"/>
    <mergeCell ref="E17:F17"/>
    <mergeCell ref="E18:F18"/>
    <mergeCell ref="B23:C23"/>
    <mergeCell ref="E24:F24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anees</cp:lastModifiedBy>
  <dcterms:created xsi:type="dcterms:W3CDTF">2017-04-13T04:20:00Z</dcterms:created>
  <cp:lastPrinted>2017-04-19T09:59:00Z</cp:lastPrinted>
  <dcterms:modified xsi:type="dcterms:W3CDTF">2026-10-16T16:23:44Z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07C107EB983F4953899829164DCE312E_12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